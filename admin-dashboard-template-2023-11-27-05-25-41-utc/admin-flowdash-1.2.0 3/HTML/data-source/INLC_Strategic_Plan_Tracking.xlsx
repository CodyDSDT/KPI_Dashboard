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landnwland-my.sharepoint.com/personal/cbarnhart_inlandnwland_org/Documents/Strategic Plan/New/25-11-3/"/>
    </mc:Choice>
  </mc:AlternateContent>
  <xr:revisionPtr revIDLastSave="545" documentId="11_B1D4AA33C09A6EB6A685C0BDB34E9A0BA618A57D" xr6:coauthVersionLast="47" xr6:coauthVersionMax="47" xr10:uidLastSave="{ACF27E74-A56A-486B-A69C-20ABD7140EB2}"/>
  <bookViews>
    <workbookView xWindow="330" yWindow="1785" windowWidth="23235" windowHeight="11865" tabRatio="785" firstSheet="2" activeTab="5" xr2:uid="{00000000-000D-0000-FFFF-FFFF00000000}"/>
  </bookViews>
  <sheets>
    <sheet name="Dashboard" sheetId="8" r:id="rId1"/>
    <sheet name="Overview &amp; Dashboard" sheetId="1" r:id="rId2"/>
    <sheet name="Acres Conservation Goal" sheetId="2" r:id="rId3"/>
    <sheet name="Priority Projects (50+)" sheetId="3" r:id="rId4"/>
    <sheet name="Financial Goals" sheetId="4" r:id="rId5"/>
    <sheet name="Community Engagement" sheetId="5" r:id="rId6"/>
    <sheet name="2025 Quarterly Checklist" sheetId="6" r:id="rId7"/>
    <sheet name="One-Time Milestones" sheetId="7" r:id="rId8"/>
  </sheets>
  <definedNames>
    <definedName name="_xlcn.WorksheetConnection_INLC_Strategic_Plan_Tracking_BLANK_TEMPLATE.xlsxTable11" hidden="1">Table1[]</definedName>
    <definedName name="current">'Overview &amp; Dashboard'!$C$5:$C$11</definedName>
    <definedName name="target">'Overview &amp; Dashboard'!$B$5:$B$11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INLC_Strategic_Plan_Tracking_BLANK_TEMPLAT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8" l="1"/>
  <c r="F5" i="8"/>
  <c r="B8" i="8"/>
  <c r="E17" i="8"/>
  <c r="E16" i="8"/>
  <c r="E15" i="8"/>
  <c r="E14" i="8"/>
  <c r="E13" i="8"/>
  <c r="E12" i="8"/>
  <c r="K3" i="3"/>
  <c r="F12" i="8" s="1"/>
  <c r="N22" i="8"/>
  <c r="O22" i="8" s="1"/>
  <c r="D30" i="8"/>
  <c r="E30" i="8" s="1"/>
  <c r="E29" i="8"/>
  <c r="D29" i="8"/>
  <c r="L19" i="8"/>
  <c r="L18" i="8"/>
  <c r="L17" i="8"/>
  <c r="L16" i="8"/>
  <c r="K19" i="8"/>
  <c r="M19" i="8" s="1"/>
  <c r="K18" i="8"/>
  <c r="M18" i="8" s="1"/>
  <c r="K17" i="8"/>
  <c r="M17" i="8" s="1"/>
  <c r="M16" i="8"/>
  <c r="H17" i="8"/>
  <c r="H16" i="8"/>
  <c r="H15" i="8"/>
  <c r="H14" i="8"/>
  <c r="H13" i="8"/>
  <c r="H12" i="8"/>
  <c r="G17" i="8"/>
  <c r="G16" i="8"/>
  <c r="G15" i="8"/>
  <c r="G14" i="8"/>
  <c r="G13" i="8"/>
  <c r="G12" i="8"/>
  <c r="D17" i="8"/>
  <c r="D16" i="8"/>
  <c r="D15" i="8"/>
  <c r="D14" i="8"/>
  <c r="D13" i="8"/>
  <c r="C17" i="8"/>
  <c r="C16" i="8"/>
  <c r="C15" i="8"/>
  <c r="C14" i="8"/>
  <c r="C13" i="8"/>
  <c r="C12" i="8"/>
  <c r="J8" i="8"/>
  <c r="F8" i="8"/>
  <c r="L3" i="3" l="1"/>
  <c r="L2" i="8" l="1"/>
  <c r="D8" i="5" l="1"/>
  <c r="D7" i="5"/>
  <c r="D6" i="5"/>
  <c r="D5" i="5"/>
  <c r="D4" i="5"/>
  <c r="D3" i="5"/>
  <c r="H8" i="4"/>
  <c r="H7" i="4"/>
  <c r="H6" i="4"/>
  <c r="H5" i="4"/>
  <c r="H4" i="4"/>
  <c r="K8" i="3"/>
  <c r="K7" i="3"/>
  <c r="K6" i="3"/>
  <c r="K5" i="3"/>
  <c r="K4" i="3"/>
  <c r="K8" i="2"/>
  <c r="K7" i="2"/>
  <c r="K6" i="2"/>
  <c r="K5" i="2"/>
  <c r="K4" i="2"/>
  <c r="K3" i="2"/>
  <c r="D11" i="1"/>
  <c r="D10" i="1"/>
  <c r="D9" i="1"/>
  <c r="D7" i="1"/>
  <c r="D6" i="1"/>
  <c r="F15" i="8" l="1"/>
  <c r="L6" i="3"/>
  <c r="F13" i="8"/>
  <c r="L4" i="3"/>
  <c r="F16" i="8"/>
  <c r="L7" i="3"/>
  <c r="F14" i="8"/>
  <c r="L5" i="3"/>
  <c r="F17" i="8"/>
  <c r="L8" i="3"/>
  <c r="M3" i="2"/>
  <c r="M4" i="2" s="1"/>
  <c r="D28" i="8"/>
  <c r="D12" i="8"/>
  <c r="B5" i="8"/>
  <c r="N3" i="2" l="1"/>
  <c r="J5" i="8" s="1"/>
  <c r="E28" i="8"/>
  <c r="F28" i="8"/>
  <c r="M5" i="2"/>
  <c r="N4" i="2"/>
  <c r="N5" i="2" l="1"/>
  <c r="M6" i="2"/>
  <c r="M7" i="2" l="1"/>
  <c r="N6" i="2"/>
  <c r="N7" i="2" l="1"/>
  <c r="M8" i="2"/>
  <c r="N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27D667-3349-4CB5-B70A-B2B50363E8B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38C249C-A5A4-46F8-9EC4-18DA9665DD9D}" name="WorksheetConnection_INLC_Strategic_Plan_Tracking_BLANK_TEMPLATE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INLC_Strategic_Plan_Tracking_BLANK_TEMPLATE.xlsxTable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<sst xmlns="http://schemas.openxmlformats.org/spreadsheetml/2006/main" count="236" uniqueCount="148">
  <si>
    <t>INLC 2030 Strategic Plan - Tracking Dashboard</t>
  </si>
  <si>
    <t>PRIMARY 2030 GOAL: CONSERVE 15,000 ACRES</t>
  </si>
  <si>
    <t>Metric</t>
  </si>
  <si>
    <t>2025 Target</t>
  </si>
  <si>
    <t>2025 Current</t>
  </si>
  <si>
    <t>% Complete</t>
  </si>
  <si>
    <t>By 2030</t>
  </si>
  <si>
    <t>Status</t>
  </si>
  <si>
    <t>Total Acres Conserved</t>
  </si>
  <si>
    <t>Annual Operating Revenue</t>
  </si>
  <si>
    <t>Total Active Donors</t>
  </si>
  <si>
    <t>Major Donors Engaged</t>
  </si>
  <si>
    <t>Volunteer Participants</t>
  </si>
  <si>
    <t>THREE STRATEGIC OBJECTIVES</t>
  </si>
  <si>
    <t>Objective</t>
  </si>
  <si>
    <t>Key 2025 Target</t>
  </si>
  <si>
    <t>Current Status</t>
  </si>
  <si>
    <t>OBJ-1: Conservation Portfolio</t>
  </si>
  <si>
    <t>OBJ-2: Community Engagement</t>
  </si>
  <si>
    <t>300 volunteers, ID expansion</t>
  </si>
  <si>
    <t>OBJ-3: Organizational Growth</t>
  </si>
  <si>
    <t>$2.6M revenue, 1,250 donors</t>
  </si>
  <si>
    <t>15,000 Acres Conservation Target (2025-2030)</t>
  </si>
  <si>
    <t>Year</t>
  </si>
  <si>
    <t>Q1 Target</t>
  </si>
  <si>
    <t>Q1 Actual</t>
  </si>
  <si>
    <t>Q2 Target</t>
  </si>
  <si>
    <t>Q2 Actual</t>
  </si>
  <si>
    <t>Q3 Target</t>
  </si>
  <si>
    <t>Q3 Actual</t>
  </si>
  <si>
    <t>Q4 Target</t>
  </si>
  <si>
    <t>Q4 Actual</t>
  </si>
  <si>
    <t>Annual Target</t>
  </si>
  <si>
    <t>Annual Actual</t>
  </si>
  <si>
    <t>Cumulative Target</t>
  </si>
  <si>
    <t>Cumulative Actual</t>
  </si>
  <si>
    <t>% of 15K Goal</t>
  </si>
  <si>
    <t>% of 50 Goal</t>
  </si>
  <si>
    <t>Financial Growth Targets (2025-2030)</t>
  </si>
  <si>
    <t>Q1 Revenue</t>
  </si>
  <si>
    <t>Q2 Revenue</t>
  </si>
  <si>
    <t>Q3 Revenue</t>
  </si>
  <si>
    <t>Q4 Revenue</t>
  </si>
  <si>
    <t>Annual Revenue Target</t>
  </si>
  <si>
    <t>Annual Revenue Actual</t>
  </si>
  <si>
    <t>% Growth</t>
  </si>
  <si>
    <t>Total Donors Target</t>
  </si>
  <si>
    <t>Total Donors Actual</t>
  </si>
  <si>
    <t>Major Donors Target</t>
  </si>
  <si>
    <t>Major Donors Actual</t>
  </si>
  <si>
    <t>Community Engagement &amp; Volunteer Targets</t>
  </si>
  <si>
    <t>Volunteer Participants Target</t>
  </si>
  <si>
    <t>Volunteer Participants Actual</t>
  </si>
  <si>
    <t>% of 500 Goal</t>
  </si>
  <si>
    <t>Volunteer Events Target</t>
  </si>
  <si>
    <t>Volunteer Events Actual</t>
  </si>
  <si>
    <t>Idaho Community Events Target</t>
  </si>
  <si>
    <t>Idaho Community Events Actual</t>
  </si>
  <si>
    <t>Idaho Community Members Target</t>
  </si>
  <si>
    <t>Idaho Community Members Actual</t>
  </si>
  <si>
    <t>2025 Quarterly Milestone Checklist</t>
  </si>
  <si>
    <t>Quarter</t>
  </si>
  <si>
    <t>Milestone/KPI</t>
  </si>
  <si>
    <t>Target</t>
  </si>
  <si>
    <t>Notes</t>
  </si>
  <si>
    <t>Q1 2025</t>
  </si>
  <si>
    <t>Launch strategic plan implementation</t>
  </si>
  <si>
    <t>Begin IT systems audit</t>
  </si>
  <si>
    <t>Acres conserved</t>
  </si>
  <si>
    <t>Q2 2025</t>
  </si>
  <si>
    <t>Complete Tribal engagement plan</t>
  </si>
  <si>
    <t>Define Conservation Opportunity Fund policy</t>
  </si>
  <si>
    <t>First corporate partner secured</t>
  </si>
  <si>
    <t>Q3 2025</t>
  </si>
  <si>
    <t>Complete Community Conservation criteria (CRITICAL)</t>
  </si>
  <si>
    <t>Complete service area delineation</t>
  </si>
  <si>
    <t>First Idaho community event</t>
  </si>
  <si>
    <t>First Tribal consultation meeting</t>
  </si>
  <si>
    <t>Q4 2025</t>
  </si>
  <si>
    <t>Complete IT systems audit</t>
  </si>
  <si>
    <t>Complete facilities needs assessment</t>
  </si>
  <si>
    <t>Complete project evaluation tool</t>
  </si>
  <si>
    <t>Tribal board recruitment plan complete</t>
  </si>
  <si>
    <t>Critical One-Time Milestones (2025-2030)</t>
  </si>
  <si>
    <t>Milestone</t>
  </si>
  <si>
    <t>Lead Department</t>
  </si>
  <si>
    <t>Q2</t>
  </si>
  <si>
    <t>Conservation</t>
  </si>
  <si>
    <t>Q3</t>
  </si>
  <si>
    <t>Complete Community Conservation criteria</t>
  </si>
  <si>
    <t>CRITICAL</t>
  </si>
  <si>
    <t>Q4</t>
  </si>
  <si>
    <t>Operations</t>
  </si>
  <si>
    <t>Board</t>
  </si>
  <si>
    <t>Q1</t>
  </si>
  <si>
    <t>Hire managed IT service consultant</t>
  </si>
  <si>
    <t>Launch Future Conservation Leaders internship (5 interns)</t>
  </si>
  <si>
    <t>Engagement</t>
  </si>
  <si>
    <t>First Tribal/Land Trust regional gathering</t>
  </si>
  <si>
    <t>Executive</t>
  </si>
  <si>
    <t>Complete multi-year board recruitment plan</t>
  </si>
  <si>
    <t>Tribal representation joins board</t>
  </si>
  <si>
    <t>Launch Advocacy Committee</t>
  </si>
  <si>
    <t>Complete multi-year staff recruitment plan</t>
  </si>
  <si>
    <t>Complete 5-year IT plan</t>
  </si>
  <si>
    <t>Q2-Q3</t>
  </si>
  <si>
    <t>Secure and begin occupancy of expanded office</t>
  </si>
  <si>
    <t>New Idaho Community Conservation site established</t>
  </si>
  <si>
    <t>Glen Tana Phase 2 design complete</t>
  </si>
  <si>
    <t>100% IT plan milestones achieved</t>
  </si>
  <si>
    <t>Full office expansion complete</t>
  </si>
  <si>
    <t>Glen Tana Phase 1 completion</t>
  </si>
  <si>
    <t>INLC 2030 Strategic Plan Dashboard</t>
  </si>
  <si>
    <t>Total Acres Conserved (2025)</t>
  </si>
  <si>
    <t>Progress to 15,000 Acre Goal</t>
  </si>
  <si>
    <t>Total Active Donors (2025)</t>
  </si>
  <si>
    <t>Volunteer Participants (2025)</t>
  </si>
  <si>
    <t>Annual Revenue (2025)</t>
  </si>
  <si>
    <t>Acres Goal</t>
  </si>
  <si>
    <t>Acres Actual</t>
  </si>
  <si>
    <t>Projects Goal</t>
  </si>
  <si>
    <t>Revenue Goal</t>
  </si>
  <si>
    <t>Revenue Actual</t>
  </si>
  <si>
    <t>Acres</t>
  </si>
  <si>
    <t>Projects</t>
  </si>
  <si>
    <t>2025 Actual</t>
  </si>
  <si>
    <t>3,000 acres</t>
  </si>
  <si>
    <t>300 volunteers</t>
  </si>
  <si>
    <t>$2.6M revenue</t>
  </si>
  <si>
    <t>Achieved</t>
  </si>
  <si>
    <t>Remaining</t>
  </si>
  <si>
    <t>Q1 Pipeline Projects</t>
  </si>
  <si>
    <t>Q2 Pipeline Projects</t>
  </si>
  <si>
    <t>Q3 Pipeline Projects</t>
  </si>
  <si>
    <t>Q4 Pipeline Projects</t>
  </si>
  <si>
    <t>Annual Average Pipeline Projects</t>
  </si>
  <si>
    <t>Yearly Goal | Average Projects in Pipeline</t>
  </si>
  <si>
    <t>Projects Actual (avg)</t>
  </si>
  <si>
    <t>Average Priority Projects in Pipeline</t>
  </si>
  <si>
    <t>Priority Projects Pipeline (Target: 50+ in pipeline 2030)</t>
  </si>
  <si>
    <t xml:space="preserve">Priority projects </t>
  </si>
  <si>
    <t xml:space="preserve">Priority Projects </t>
  </si>
  <si>
    <t>3,000 acres &amp; 50 projects</t>
  </si>
  <si>
    <t>Last Updated: 11/4/2025</t>
  </si>
  <si>
    <t>2025 Q1</t>
  </si>
  <si>
    <t>2025 Q2</t>
  </si>
  <si>
    <t>2025 Q3</t>
  </si>
  <si>
    <t>2025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</si>
</sst>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&quot;$&quot;#,##0"/>
    <numFmt numFmtId="167" formatCode="#,##0%"/>
    <numFmt numFmtId="168" formatCode="&quot;$&quot;#,##0,\K"/>
  </numFmts>
  <fonts count="11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9" fontId="0" fillId="0" borderId="1" xfId="0" applyNumberFormat="1" applyBorder="1"/>
    <xf numFmtId="0" fontId="4" fillId="2" borderId="0" xfId="0" applyFont="1" applyFill="1" applyAlignment="1">
      <alignment horizontal="center" wrapText="1"/>
    </xf>
    <xf numFmtId="0" fontId="0" fillId="4" borderId="1" xfId="0" applyFill="1" applyBorder="1"/>
    <xf numFmtId="165" fontId="0" fillId="0" borderId="1" xfId="0" applyNumberFormat="1" applyBorder="1"/>
    <xf numFmtId="164" fontId="0" fillId="4" borderId="1" xfId="0" applyNumberFormat="1" applyFill="1" applyBorder="1"/>
    <xf numFmtId="0" fontId="5" fillId="0" borderId="1" xfId="0" applyFont="1" applyBorder="1"/>
    <xf numFmtId="0" fontId="0" fillId="0" borderId="0" xfId="0" applyAlignment="1">
      <alignment horizontal="right"/>
    </xf>
    <xf numFmtId="0" fontId="6" fillId="6" borderId="0" xfId="0" applyFont="1" applyFill="1"/>
    <xf numFmtId="3" fontId="0" fillId="0" borderId="1" xfId="0" applyNumberFormat="1" applyBorder="1"/>
    <xf numFmtId="168" fontId="0" fillId="0" borderId="1" xfId="0" applyNumberFormat="1" applyBorder="1"/>
    <xf numFmtId="1" fontId="0" fillId="0" borderId="1" xfId="0" applyNumberFormat="1" applyBorder="1"/>
    <xf numFmtId="10" fontId="0" fillId="0" borderId="0" xfId="0" applyNumberFormat="1"/>
    <xf numFmtId="166" fontId="0" fillId="3" borderId="1" xfId="0" applyNumberFormat="1" applyFill="1" applyBorder="1"/>
    <xf numFmtId="1" fontId="0" fillId="0" borderId="8" xfId="0" applyNumberFormat="1" applyBorder="1"/>
    <xf numFmtId="3" fontId="0" fillId="0" borderId="8" xfId="0" applyNumberFormat="1" applyBorder="1"/>
    <xf numFmtId="168" fontId="0" fillId="0" borderId="8" xfId="0" applyNumberFormat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3" borderId="1" xfId="0" applyFill="1" applyBorder="1" applyProtection="1">
      <protection locked="0"/>
    </xf>
    <xf numFmtId="165" fontId="0" fillId="0" borderId="1" xfId="0" applyNumberFormat="1" applyBorder="1" applyProtection="1"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3" fontId="10" fillId="0" borderId="5" xfId="0" applyNumberFormat="1" applyFont="1" applyBorder="1" applyAlignment="1">
      <alignment horizontal="center"/>
    </xf>
    <xf numFmtId="3" fontId="10" fillId="0" borderId="6" xfId="0" applyNumberFormat="1" applyFont="1" applyBorder="1" applyAlignment="1">
      <alignment horizontal="center"/>
    </xf>
    <xf numFmtId="3" fontId="10" fillId="0" borderId="7" xfId="0" applyNumberFormat="1" applyFont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7" fontId="10" fillId="0" borderId="5" xfId="0" applyNumberFormat="1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167" fontId="10" fillId="0" borderId="7" xfId="0" applyNumberFormat="1" applyFont="1" applyBorder="1" applyAlignment="1">
      <alignment horizontal="center"/>
    </xf>
    <xf numFmtId="166" fontId="10" fillId="0" borderId="5" xfId="0" applyNumberFormat="1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166" fontId="10" fillId="0" borderId="7" xfId="0" applyNumberFormat="1" applyFont="1" applyBorder="1" applyAlignment="1">
      <alignment horizontal="center"/>
    </xf>
    <xf numFmtId="0" fontId="3" fillId="0" borderId="0" xfId="0" applyFont="1"/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Protection="1">
      <protection locked="0"/>
    </xf>
    <xf numFmtId="0" fontId="6" fillId="6" borderId="9" xfId="0" applyFont="1" applyFill="1" applyBorder="1"/>
    <xf numFmtId="0" fontId="6" fillId="6" borderId="10" xfId="0" applyFont="1" applyFill="1" applyBorder="1"/>
    <xf numFmtId="1" fontId="0" fillId="7" borderId="1" xfId="0" applyNumberFormat="1" applyFont="1" applyFill="1" applyBorder="1"/>
    <xf numFmtId="3" fontId="0" fillId="7" borderId="1" xfId="0" applyNumberFormat="1" applyFont="1" applyFill="1" applyBorder="1"/>
    <xf numFmtId="1" fontId="0" fillId="8" borderId="1" xfId="0" applyNumberFormat="1" applyFont="1" applyFill="1" applyBorder="1"/>
    <xf numFmtId="3" fontId="0" fillId="8" borderId="1" xfId="0" applyNumberFormat="1" applyFont="1" applyFill="1" applyBorder="1"/>
  </cellXfs>
  <cellStyles count="1">
    <cellStyle name="Normal" xfId="0" builtinId="0"/>
  </cellStyles>
  <dxfs count="9">
    <dxf>
      <numFmt numFmtId="168" formatCode="&quot;$&quot;#,##0,\K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8" formatCode="&quot;$&quot;#,##0,\K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connections" Target="connections.xml"/><Relationship Id="rId19" Type="http://schemas.microsoft.com/office/2022/11/relationships/FeaturePropertyBag" Target="featurePropertyBag/featurePropertyBag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2/10/relationships/richValueRel" Target="richData/richValueRel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Projects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0868100116081E-2"/>
          <c:y val="0.17805304696597232"/>
          <c:w val="0.90282302665480696"/>
          <c:h val="0.51912278431879944"/>
        </c:manualLayout>
      </c:layout>
      <c:lineChart>
        <c:grouping val="stacked"/>
        <c:varyColors val="0"/>
        <c:ser>
          <c:idx val="0"/>
          <c:order val="0"/>
          <c:tx>
            <c:strRef>
              <c:f>Dashboard!$E$11</c:f>
              <c:strCache>
                <c:ptCount val="1"/>
                <c:pt idx="0">
                  <c:v>Projects Goal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Dashboard!$B$12:$B$17</c:f>
              <c:numCache>
                <c:formatCode>0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Dashboard!$E$12:$E$17</c:f>
              <c:numCache>
                <c:formatCode>0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1-4ACA-9DFF-B6C605863C25}"/>
            </c:ext>
          </c:extLst>
        </c:ser>
        <c:ser>
          <c:idx val="1"/>
          <c:order val="1"/>
          <c:tx>
            <c:strRef>
              <c:f>Dashboard!$F$11</c:f>
              <c:strCache>
                <c:ptCount val="1"/>
                <c:pt idx="0">
                  <c:v>Projects Actual (avg)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Dashboard!$B$12:$B$17</c:f>
              <c:numCache>
                <c:formatCode>0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Dashboard!$F$12:$F$17</c:f>
              <c:numCache>
                <c:formatCode>0</c:formatCode>
                <c:ptCount val="6"/>
                <c:pt idx="0">
                  <c:v>30.25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41-4ACA-9DFF-B6C605863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861232"/>
        <c:axId val="1595861592"/>
      </c:lineChart>
      <c:catAx>
        <c:axId val="1595861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61592"/>
        <c:crosses val="autoZero"/>
        <c:auto val="1"/>
        <c:lblAlgn val="ctr"/>
        <c:lblOffset val="100"/>
        <c:noMultiLvlLbl val="0"/>
      </c:catAx>
      <c:valAx>
        <c:axId val="15958615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6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Acres Conservation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Dashboard!$S$18</c:f>
              <c:strCache>
                <c:ptCount val="1"/>
                <c:pt idx="0">
                  <c:v>Acres Goal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Dashboard!$R$19:$R$22</c:f>
              <c:strCache>
                <c:ptCount val="4"/>
                <c:pt idx="0">
                  <c:v>2025 Q1</c:v>
                </c:pt>
                <c:pt idx="1">
                  <c:v>2025 Q2</c:v>
                </c:pt>
                <c:pt idx="2">
                  <c:v>2025 Q3</c:v>
                </c:pt>
                <c:pt idx="3">
                  <c:v>2025 Q4</c:v>
                </c:pt>
              </c:strCache>
            </c:strRef>
          </c:cat>
          <c:val>
            <c:numRef>
              <c:f>Dashboard!$S$19:$S$22</c:f>
              <c:numCache>
                <c:formatCode>#,##0</c:formatCode>
                <c:ptCount val="4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1F-43D9-996A-11689A90B0F0}"/>
            </c:ext>
          </c:extLst>
        </c:ser>
        <c:ser>
          <c:idx val="1"/>
          <c:order val="1"/>
          <c:tx>
            <c:strRef>
              <c:f>Dashboard!$T$18</c:f>
              <c:strCache>
                <c:ptCount val="1"/>
                <c:pt idx="0">
                  <c:v>Acres Actual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Dashboard!$R$19:$R$22</c:f>
              <c:strCache>
                <c:ptCount val="4"/>
                <c:pt idx="0">
                  <c:v>2025 Q1</c:v>
                </c:pt>
                <c:pt idx="1">
                  <c:v>2025 Q2</c:v>
                </c:pt>
                <c:pt idx="2">
                  <c:v>2025 Q3</c:v>
                </c:pt>
                <c:pt idx="3">
                  <c:v>2025 Q4</c:v>
                </c:pt>
              </c:strCache>
            </c:strRef>
          </c:cat>
          <c:val>
            <c:numRef>
              <c:f>Dashboard!$T$19:$T$22</c:f>
              <c:numCache>
                <c:formatCode>#,##0</c:formatCode>
                <c:ptCount val="4"/>
                <c:pt idx="0">
                  <c:v>205</c:v>
                </c:pt>
                <c:pt idx="1">
                  <c:v>375</c:v>
                </c:pt>
                <c:pt idx="2">
                  <c:v>500</c:v>
                </c:pt>
                <c:pt idx="3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1F-43D9-996A-11689A90B0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3177728"/>
        <c:axId val="1563177008"/>
      </c:lineChart>
      <c:catAx>
        <c:axId val="156317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77008"/>
        <c:crosses val="autoZero"/>
        <c:auto val="1"/>
        <c:lblAlgn val="ctr"/>
        <c:lblOffset val="100"/>
        <c:noMultiLvlLbl val="0"/>
      </c:catAx>
      <c:valAx>
        <c:axId val="15631770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56317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2025 Quarterly Acres Conserved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Dashboard!$K$15</c:f>
              <c:strCache>
                <c:ptCount val="1"/>
                <c:pt idx="0">
                  <c:v>Acres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Dashboard!$J$16:$J$19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Dashboard!$K$16:$K$19</c:f>
              <c:numCache>
                <c:formatCode>General</c:formatCode>
                <c:ptCount val="4"/>
                <c:pt idx="0">
                  <c:v>320</c:v>
                </c:pt>
                <c:pt idx="1">
                  <c:v>350</c:v>
                </c:pt>
                <c:pt idx="2">
                  <c:v>320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2-4B3B-8F73-BAD682907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58355616"/>
        <c:axId val="601886184"/>
      </c:barChart>
      <c:catAx>
        <c:axId val="155835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886184"/>
        <c:crosses val="autoZero"/>
        <c:auto val="1"/>
        <c:lblAlgn val="ctr"/>
        <c:lblOffset val="100"/>
        <c:noMultiLvlLbl val="0"/>
      </c:catAx>
      <c:valAx>
        <c:axId val="60188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5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Revenue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FC-2D4C-8E06-F772ECD6D1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FC-2D4C-8E06-F772ECD6D10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Dashboard!$N$21:$O$21</c:f>
              <c:strCache>
                <c:ptCount val="2"/>
                <c:pt idx="0">
                  <c:v>Achieved</c:v>
                </c:pt>
                <c:pt idx="1">
                  <c:v>Remaining</c:v>
                </c:pt>
              </c:strCache>
            </c:strRef>
          </c:cat>
          <c:val>
            <c:numRef>
              <c:f>Dashboard!$N$22:$O$22</c:f>
              <c:numCache>
                <c:formatCode>General</c:formatCode>
                <c:ptCount val="2"/>
                <c:pt idx="0">
                  <c:v>2500000</c:v>
                </c:pt>
                <c:pt idx="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8-4ED4-BA07-3AE9C1B68E9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478815</xdr:colOff>
      <xdr:row>31</xdr:row>
      <xdr:rowOff>30480</xdr:rowOff>
    </xdr:from>
    <xdr:to>
      <xdr:col>7</xdr:col>
      <xdr:colOff>69409</xdr:colOff>
      <xdr:row>40</xdr:row>
      <xdr:rowOff>25179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5B8D23-FE3D-C6D6-2ED0-C5DE55275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530961</xdr:colOff>
      <xdr:row>9</xdr:row>
      <xdr:rowOff>74613</xdr:rowOff>
    </xdr:from>
    <xdr:to>
      <xdr:col>8</xdr:col>
      <xdr:colOff>209326</xdr:colOff>
      <xdr:row>22</xdr:row>
      <xdr:rowOff>30480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16AD420-9C37-B904-464C-90488126A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62757</xdr:colOff>
      <xdr:row>31</xdr:row>
      <xdr:rowOff>70037</xdr:rowOff>
    </xdr:from>
    <xdr:to>
      <xdr:col>14</xdr:col>
      <xdr:colOff>458881</xdr:colOff>
      <xdr:row>40</xdr:row>
      <xdr:rowOff>23074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023539-CFC5-86E3-00B3-C9588CD89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213360</xdr:colOff>
      <xdr:row>9</xdr:row>
      <xdr:rowOff>68949</xdr:rowOff>
    </xdr:from>
    <xdr:to>
      <xdr:col>15</xdr:col>
      <xdr:colOff>114301</xdr:colOff>
      <xdr:row>22</xdr:row>
      <xdr:rowOff>36195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7F7454-2FC5-E1E5-FA65-CEA602101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511A7-2C4C-4988-9BC7-94F3EF8BCBC0}" name="Table1" displayName="Table1" ref="B11:H17" totalsRowShown="0" headerRowDxfId="8" tableBorderDxfId="7">
  <autoFilter ref="B11:H17" xr:uid="{1DA511A7-2C4C-4988-9BC7-94F3EF8BCBC0}"/>
  <tableColumns count="7">
    <tableColumn id="1" xr3:uid="{AC6ED0DD-E224-452D-98FF-AB1BC8B32A19}" name="Year" dataDxfId="6"/>
    <tableColumn id="2" xr3:uid="{63F3C0CE-D675-42CC-9617-BCF4AFC775BA}" name="Acres Goal" dataDxfId="5">
      <calculatedColumnFormula>'Acres Conservation Goal'!J3</calculatedColumnFormula>
    </tableColumn>
    <tableColumn id="3" xr3:uid="{8559A20D-2805-43C7-BB10-DBBF6BF6BF15}" name="Acres Actual" dataDxfId="4">
      <calculatedColumnFormula>'Acres Conservation Goal'!K3</calculatedColumnFormula>
    </tableColumn>
    <tableColumn id="4" xr3:uid="{97210F52-ABC3-48BD-B525-276CBB7DC0D4}" name="Projects Goal" dataDxfId="3">
      <calculatedColumnFormula>'Priority Projects (50+)'!J3</calculatedColumnFormula>
    </tableColumn>
    <tableColumn id="5" xr3:uid="{854E0468-EAC1-4122-B829-9903B1B22204}" name="Projects Actual (avg)" dataDxfId="2">
      <calculatedColumnFormula>'Priority Projects (50+)'!K3</calculatedColumnFormula>
    </tableColumn>
    <tableColumn id="6" xr3:uid="{AE202824-E568-46F2-A4DF-7E6B9B95F172}" name="Revenue Goal" dataDxfId="1">
      <calculatedColumnFormula>'Financial Goals'!F3</calculatedColumnFormula>
    </tableColumn>
    <tableColumn id="7" xr3:uid="{EAE1BA29-B5B8-49B7-B75D-223D2592FFA5}" name="Revenue Actual" dataDxfId="0">
      <calculatedColumnFormula>'Financial Goals'!G3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AB65-3C9D-4804-9E0E-6B8B75EF0539}">
  <sheetPr>
    <tabColor rgb="FF00B050"/>
  </sheetPr>
  <dimension ref="A1:T30"/>
  <sheetViews>
    <sheetView showGridLines="0" topLeftCell="A2" zoomScale="85" zoomScaleNormal="85" workbookViewId="0">
      <selection activeCell="B5" sqref="B5:D5"/>
    </sheetView>
  </sheetViews>
  <sheetFormatPr defaultColWidth="8.85546875" defaultRowHeight="15" x14ac:dyDescent="0.25"/>
  <cols>
    <col min="2" max="2" width="9.28515625" bestFit="1" customWidth="1"/>
    <col min="3" max="3" width="12.140625" customWidth="1"/>
    <col min="4" max="4" width="13.42578125" customWidth="1"/>
    <col min="5" max="5" width="14.28515625" customWidth="1"/>
    <col min="6" max="6" width="20.42578125" customWidth="1"/>
    <col min="7" max="7" width="15" customWidth="1"/>
    <col min="8" max="8" width="16.42578125" customWidth="1"/>
    <col min="13" max="13" width="11.140625" customWidth="1"/>
    <col min="16" max="16" width="10.42578125" customWidth="1"/>
    <col min="19" max="19" width="13.28515625" customWidth="1"/>
    <col min="20" max="20" width="24.42578125" customWidth="1"/>
  </cols>
  <sheetData>
    <row r="1" spans="1:13" ht="23.25" x14ac:dyDescent="0.35">
      <c r="A1" s="27" t="s">
        <v>112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60" customHeight="1" x14ac:dyDescent="0.25">
      <c r="A2" s="28" t="e" vm="1">
        <v>#VALUE!</v>
      </c>
      <c r="B2" s="28"/>
      <c r="C2" s="28"/>
      <c r="D2" s="28"/>
      <c r="L2" s="12" t="str">
        <f ca="1">"Last Updated: "&amp;TEXT(TODAY(),"mmmm d, yyyy")</f>
        <v>Last Updated: November 12, 2025</v>
      </c>
    </row>
    <row r="3" spans="1:13" ht="15.75" thickBot="1" x14ac:dyDescent="0.3"/>
    <row r="4" spans="1:13" x14ac:dyDescent="0.25">
      <c r="B4" s="29" t="s">
        <v>113</v>
      </c>
      <c r="C4" s="30"/>
      <c r="D4" s="31"/>
      <c r="F4" s="29" t="s">
        <v>138</v>
      </c>
      <c r="G4" s="35"/>
      <c r="H4" s="36"/>
      <c r="J4" s="29" t="s">
        <v>114</v>
      </c>
      <c r="K4" s="35"/>
      <c r="L4" s="36"/>
    </row>
    <row r="5" spans="1:13" ht="32.25" thickBot="1" x14ac:dyDescent="0.55000000000000004">
      <c r="B5" s="32">
        <f>'Acres Conservation Goal'!K3</f>
        <v>1490</v>
      </c>
      <c r="C5" s="33"/>
      <c r="D5" s="34"/>
      <c r="F5" s="32">
        <f>'Priority Projects (50+)'!K3</f>
        <v>30.25</v>
      </c>
      <c r="G5" s="33"/>
      <c r="H5" s="34"/>
      <c r="J5" s="37">
        <f>'Acres Conservation Goal'!N3</f>
        <v>9.9333333333333329E-2</v>
      </c>
      <c r="K5" s="38"/>
      <c r="L5" s="39"/>
    </row>
    <row r="6" spans="1:13" ht="15.75" thickBot="1" x14ac:dyDescent="0.3"/>
    <row r="7" spans="1:13" x14ac:dyDescent="0.25">
      <c r="B7" s="29" t="s">
        <v>115</v>
      </c>
      <c r="C7" s="30"/>
      <c r="D7" s="31"/>
      <c r="F7" s="29" t="s">
        <v>116</v>
      </c>
      <c r="G7" s="30"/>
      <c r="H7" s="31"/>
      <c r="J7" s="29" t="s">
        <v>117</v>
      </c>
      <c r="K7" s="30"/>
      <c r="L7" s="31"/>
    </row>
    <row r="8" spans="1:13" ht="32.25" thickBot="1" x14ac:dyDescent="0.55000000000000004">
      <c r="B8" s="32">
        <f>'Financial Goals'!J3</f>
        <v>1120</v>
      </c>
      <c r="C8" s="33"/>
      <c r="D8" s="34"/>
      <c r="F8" s="32">
        <f>'Community Engagement'!C3</f>
        <v>230</v>
      </c>
      <c r="G8" s="33"/>
      <c r="H8" s="34"/>
      <c r="J8" s="40">
        <f>'Financial Goals'!G3</f>
        <v>2500000</v>
      </c>
      <c r="K8" s="41"/>
      <c r="L8" s="42"/>
    </row>
    <row r="11" spans="1:13" x14ac:dyDescent="0.25">
      <c r="B11" s="13" t="s">
        <v>23</v>
      </c>
      <c r="C11" s="13" t="s">
        <v>118</v>
      </c>
      <c r="D11" s="13" t="s">
        <v>119</v>
      </c>
      <c r="E11" s="13" t="s">
        <v>120</v>
      </c>
      <c r="F11" s="13" t="s">
        <v>137</v>
      </c>
      <c r="G11" s="13" t="s">
        <v>121</v>
      </c>
      <c r="H11" s="13" t="s">
        <v>122</v>
      </c>
    </row>
    <row r="12" spans="1:13" x14ac:dyDescent="0.25">
      <c r="B12" s="16">
        <v>2025</v>
      </c>
      <c r="C12" s="14">
        <f>'Acres Conservation Goal'!J3</f>
        <v>1500</v>
      </c>
      <c r="D12" s="14">
        <f>'Acres Conservation Goal'!K3</f>
        <v>1490</v>
      </c>
      <c r="E12" s="16">
        <f>'Priority Projects (50+)'!J3</f>
        <v>50</v>
      </c>
      <c r="F12" s="16">
        <f>'Priority Projects (50+)'!K3</f>
        <v>30.25</v>
      </c>
      <c r="G12" s="15">
        <f>'Financial Goals'!F3</f>
        <v>2600000</v>
      </c>
      <c r="H12" s="15">
        <f>'Financial Goals'!G3</f>
        <v>2500000</v>
      </c>
    </row>
    <row r="13" spans="1:13" x14ac:dyDescent="0.25">
      <c r="B13" s="16">
        <v>2026</v>
      </c>
      <c r="C13" s="14">
        <f>'Acres Conservation Goal'!J4</f>
        <v>2000</v>
      </c>
      <c r="D13" s="14">
        <f>'Acres Conservation Goal'!K4</f>
        <v>0</v>
      </c>
      <c r="E13" s="16">
        <f>'Priority Projects (50+)'!J4</f>
        <v>50</v>
      </c>
      <c r="F13" s="16">
        <f>'Priority Projects (50+)'!K4</f>
        <v>0</v>
      </c>
      <c r="G13" s="15">
        <f>'Financial Goals'!F4</f>
        <v>2700000</v>
      </c>
      <c r="H13" s="15">
        <f>'Financial Goals'!G4</f>
        <v>2800000</v>
      </c>
    </row>
    <row r="14" spans="1:13" x14ac:dyDescent="0.25">
      <c r="B14" s="16">
        <v>2027</v>
      </c>
      <c r="C14" s="14">
        <f>'Acres Conservation Goal'!J5</f>
        <v>2500</v>
      </c>
      <c r="D14" s="14">
        <f>'Acres Conservation Goal'!K5</f>
        <v>0</v>
      </c>
      <c r="E14" s="16">
        <f>'Priority Projects (50+)'!J5</f>
        <v>50</v>
      </c>
      <c r="F14" s="16">
        <f>'Priority Projects (50+)'!K5</f>
        <v>0</v>
      </c>
      <c r="G14" s="15">
        <f>'Financial Goals'!F5</f>
        <v>2800000</v>
      </c>
      <c r="H14" s="15">
        <f>'Financial Goals'!G5</f>
        <v>4009000</v>
      </c>
    </row>
    <row r="15" spans="1:13" x14ac:dyDescent="0.25">
      <c r="B15" s="16">
        <v>2028</v>
      </c>
      <c r="C15" s="14">
        <f>'Acres Conservation Goal'!J6</f>
        <v>3000</v>
      </c>
      <c r="D15" s="14">
        <f>'Acres Conservation Goal'!K6</f>
        <v>0</v>
      </c>
      <c r="E15" s="16">
        <f>'Priority Projects (50+)'!J6</f>
        <v>50</v>
      </c>
      <c r="F15" s="16">
        <f>'Priority Projects (50+)'!K6</f>
        <v>0</v>
      </c>
      <c r="G15" s="15">
        <f>'Financial Goals'!F6</f>
        <v>2900000</v>
      </c>
      <c r="H15" s="15">
        <f>'Financial Goals'!G6</f>
        <v>2000000</v>
      </c>
      <c r="J15" s="13" t="s">
        <v>61</v>
      </c>
      <c r="K15" s="13" t="s">
        <v>123</v>
      </c>
      <c r="L15" s="13" t="s">
        <v>124</v>
      </c>
      <c r="M15" s="13" t="s">
        <v>5</v>
      </c>
    </row>
    <row r="16" spans="1:13" x14ac:dyDescent="0.25">
      <c r="B16" s="16">
        <v>2029</v>
      </c>
      <c r="C16" s="14">
        <f>'Acres Conservation Goal'!J7</f>
        <v>3000</v>
      </c>
      <c r="D16" s="14">
        <f>'Acres Conservation Goal'!K7</f>
        <v>0</v>
      </c>
      <c r="E16" s="16">
        <f>'Priority Projects (50+)'!J7</f>
        <v>50</v>
      </c>
      <c r="F16" s="16">
        <f>'Priority Projects (50+)'!K7</f>
        <v>0</v>
      </c>
      <c r="G16" s="15">
        <f>'Financial Goals'!F7</f>
        <v>2950000</v>
      </c>
      <c r="H16" s="15">
        <f>'Financial Goals'!G7</f>
        <v>0</v>
      </c>
      <c r="J16" s="3" t="s">
        <v>65</v>
      </c>
      <c r="K16" s="3">
        <f>'Acres Conservation Goal'!C3</f>
        <v>320</v>
      </c>
      <c r="L16" s="3">
        <f>'Priority Projects (50+)'!C3</f>
        <v>15</v>
      </c>
      <c r="M16" s="6">
        <f>K16/'Acres Conservation Goal'!B3</f>
        <v>0.85333333333333339</v>
      </c>
    </row>
    <row r="17" spans="2:20" x14ac:dyDescent="0.25">
      <c r="B17" s="19">
        <v>2030</v>
      </c>
      <c r="C17" s="20">
        <f>'Acres Conservation Goal'!J8</f>
        <v>3000</v>
      </c>
      <c r="D17" s="20">
        <f>'Acres Conservation Goal'!K8</f>
        <v>0</v>
      </c>
      <c r="E17" s="19">
        <f>'Priority Projects (50+)'!J8</f>
        <v>50</v>
      </c>
      <c r="F17" s="19">
        <f>'Priority Projects (50+)'!K8</f>
        <v>0</v>
      </c>
      <c r="G17" s="21">
        <f>'Financial Goals'!F8</f>
        <v>3000000</v>
      </c>
      <c r="H17" s="21">
        <f>'Financial Goals'!G8</f>
        <v>0</v>
      </c>
      <c r="J17" s="3" t="s">
        <v>69</v>
      </c>
      <c r="K17" s="3">
        <f>'Acres Conservation Goal'!E3</f>
        <v>350</v>
      </c>
      <c r="L17" s="3">
        <f>'Priority Projects (50+)'!E3</f>
        <v>36</v>
      </c>
      <c r="M17" s="6">
        <f>K17/'Acres Conservation Goal'!D3</f>
        <v>0.93333333333333335</v>
      </c>
    </row>
    <row r="18" spans="2:20" ht="17.45" customHeight="1" thickBot="1" x14ac:dyDescent="0.3">
      <c r="J18" s="3" t="s">
        <v>73</v>
      </c>
      <c r="K18" s="3">
        <f>'Acres Conservation Goal'!G3</f>
        <v>320</v>
      </c>
      <c r="L18" s="3">
        <f>'Priority Projects (50+)'!G3</f>
        <v>20</v>
      </c>
      <c r="M18" s="6">
        <f>K18/'Acres Conservation Goal'!F3</f>
        <v>0.85333333333333339</v>
      </c>
      <c r="R18" s="50" t="s">
        <v>23</v>
      </c>
      <c r="S18" s="51" t="s">
        <v>118</v>
      </c>
      <c r="T18" s="51" t="s">
        <v>119</v>
      </c>
    </row>
    <row r="19" spans="2:20" ht="15.75" thickTop="1" x14ac:dyDescent="0.25">
      <c r="J19" s="3" t="s">
        <v>78</v>
      </c>
      <c r="K19" s="3">
        <f>'Acres Conservation Goal'!I3</f>
        <v>500</v>
      </c>
      <c r="L19" s="3">
        <f>'Priority Projects (50+)'!I3</f>
        <v>50</v>
      </c>
      <c r="M19" s="6">
        <f>K19/'Acres Conservation Goal'!H3</f>
        <v>1.3333333333333333</v>
      </c>
      <c r="R19" s="52" t="s">
        <v>144</v>
      </c>
      <c r="S19" s="53">
        <v>375</v>
      </c>
      <c r="T19" s="53">
        <v>205</v>
      </c>
    </row>
    <row r="20" spans="2:20" x14ac:dyDescent="0.25">
      <c r="R20" s="52" t="s">
        <v>145</v>
      </c>
      <c r="S20" s="55">
        <v>375</v>
      </c>
      <c r="T20" s="55">
        <v>375</v>
      </c>
    </row>
    <row r="21" spans="2:20" x14ac:dyDescent="0.25">
      <c r="N21" t="s">
        <v>129</v>
      </c>
      <c r="O21" t="s">
        <v>130</v>
      </c>
      <c r="R21" s="52" t="s">
        <v>146</v>
      </c>
      <c r="S21" s="53">
        <v>375</v>
      </c>
      <c r="T21" s="53">
        <v>500</v>
      </c>
    </row>
    <row r="22" spans="2:20" x14ac:dyDescent="0.25">
      <c r="N22">
        <f>'Financial Goals'!G3</f>
        <v>2500000</v>
      </c>
      <c r="O22">
        <f>2600000-N22</f>
        <v>100000</v>
      </c>
      <c r="R22" s="52" t="s">
        <v>147</v>
      </c>
      <c r="S22" s="55">
        <v>375</v>
      </c>
      <c r="T22" s="55">
        <v>375</v>
      </c>
    </row>
    <row r="23" spans="2:20" x14ac:dyDescent="0.25">
      <c r="R23" s="52"/>
      <c r="S23" s="53"/>
      <c r="T23" s="53"/>
    </row>
    <row r="24" spans="2:20" x14ac:dyDescent="0.25">
      <c r="R24" s="54"/>
      <c r="S24" s="55"/>
      <c r="T24" s="55"/>
    </row>
    <row r="27" spans="2:20" x14ac:dyDescent="0.25">
      <c r="B27" s="13" t="s">
        <v>14</v>
      </c>
      <c r="C27" s="13" t="s">
        <v>3</v>
      </c>
      <c r="D27" s="13" t="s">
        <v>125</v>
      </c>
      <c r="E27" s="13" t="s">
        <v>5</v>
      </c>
      <c r="F27" s="13" t="s">
        <v>7</v>
      </c>
    </row>
    <row r="28" spans="2:20" x14ac:dyDescent="0.25">
      <c r="B28" t="s">
        <v>17</v>
      </c>
      <c r="C28" t="s">
        <v>126</v>
      </c>
      <c r="D28">
        <f>'Acres Conservation Goal'!K3</f>
        <v>1490</v>
      </c>
      <c r="E28" s="17">
        <f>D28/3000</f>
        <v>0.49666666666666665</v>
      </c>
      <c r="F28" t="e">
        <f>IF(D28/C28&gt;=0.9,"🟢",IF(D28/C28&gt;=0.7,"🟡","🔴"))</f>
        <v>#VALUE!</v>
      </c>
    </row>
    <row r="29" spans="2:20" x14ac:dyDescent="0.25">
      <c r="B29" t="s">
        <v>18</v>
      </c>
      <c r="C29" t="s">
        <v>127</v>
      </c>
      <c r="D29">
        <f>'Community Engagement'!C3</f>
        <v>230</v>
      </c>
      <c r="E29" s="17">
        <f>D29/300</f>
        <v>0.76666666666666672</v>
      </c>
    </row>
    <row r="30" spans="2:20" x14ac:dyDescent="0.25">
      <c r="B30" t="s">
        <v>20</v>
      </c>
      <c r="C30" t="s">
        <v>128</v>
      </c>
      <c r="D30">
        <f>'Financial Goals'!G3</f>
        <v>2500000</v>
      </c>
      <c r="E30" s="17">
        <f>D30/2600000</f>
        <v>0.96153846153846156</v>
      </c>
    </row>
  </sheetData>
  <mergeCells count="14">
    <mergeCell ref="B7:D7"/>
    <mergeCell ref="F7:H7"/>
    <mergeCell ref="J7:L7"/>
    <mergeCell ref="B8:D8"/>
    <mergeCell ref="F8:H8"/>
    <mergeCell ref="J8:L8"/>
    <mergeCell ref="A1:M1"/>
    <mergeCell ref="A2:D2"/>
    <mergeCell ref="B4:D4"/>
    <mergeCell ref="B5:D5"/>
    <mergeCell ref="F4:H4"/>
    <mergeCell ref="F5:H5"/>
    <mergeCell ref="J4:L4"/>
    <mergeCell ref="J5:L5"/>
  </mergeCells>
  <conditionalFormatting sqref="E28:E30">
    <cfRule type="colorScale" priority="1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499984740745262"/>
  </sheetPr>
  <dimension ref="A1:F18"/>
  <sheetViews>
    <sheetView zoomScale="173" workbookViewId="0">
      <selection activeCell="E9" sqref="E9"/>
    </sheetView>
  </sheetViews>
  <sheetFormatPr defaultColWidth="8.85546875" defaultRowHeight="15" x14ac:dyDescent="0.25"/>
  <cols>
    <col min="1" max="1" width="30" customWidth="1"/>
    <col min="2" max="6" width="15" customWidth="1"/>
  </cols>
  <sheetData>
    <row r="1" spans="1:6" ht="21" x14ac:dyDescent="0.35">
      <c r="A1" s="45" t="s">
        <v>0</v>
      </c>
      <c r="B1" s="44"/>
      <c r="C1" s="44"/>
      <c r="D1" s="44"/>
      <c r="E1" s="44"/>
      <c r="F1" s="44"/>
    </row>
    <row r="2" spans="1:6" x14ac:dyDescent="0.25">
      <c r="A2" s="1" t="s">
        <v>143</v>
      </c>
    </row>
    <row r="4" spans="1:6" ht="18.75" x14ac:dyDescent="0.3">
      <c r="A4" s="43" t="s">
        <v>1</v>
      </c>
      <c r="B4" s="44"/>
      <c r="C4" s="44"/>
      <c r="D4" s="44"/>
      <c r="E4" s="44"/>
      <c r="F4" s="44"/>
    </row>
    <row r="5" spans="1:6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1:6" x14ac:dyDescent="0.25">
      <c r="A6" s="3" t="s">
        <v>8</v>
      </c>
      <c r="B6" s="14">
        <v>3000</v>
      </c>
      <c r="C6" s="5"/>
      <c r="D6" s="6">
        <f>C6/B6</f>
        <v>0</v>
      </c>
      <c r="E6" s="3">
        <v>15000</v>
      </c>
      <c r="F6" s="3"/>
    </row>
    <row r="7" spans="1:6" x14ac:dyDescent="0.25">
      <c r="A7" s="3" t="s">
        <v>141</v>
      </c>
      <c r="B7" s="3">
        <v>50</v>
      </c>
      <c r="C7" s="5"/>
      <c r="D7" s="6">
        <f>C7/B7</f>
        <v>0</v>
      </c>
      <c r="E7" s="3">
        <v>50</v>
      </c>
      <c r="F7" s="3"/>
    </row>
    <row r="8" spans="1:6" x14ac:dyDescent="0.25">
      <c r="A8" s="3" t="s">
        <v>9</v>
      </c>
      <c r="B8" s="4">
        <v>2600000</v>
      </c>
      <c r="C8" s="5"/>
      <c r="D8" s="3"/>
      <c r="E8" s="4">
        <v>3000000</v>
      </c>
      <c r="F8" s="3"/>
    </row>
    <row r="9" spans="1:6" x14ac:dyDescent="0.25">
      <c r="A9" s="3" t="s">
        <v>10</v>
      </c>
      <c r="B9" s="14">
        <v>1250</v>
      </c>
      <c r="C9" s="5"/>
      <c r="D9" s="6">
        <f>C9/B9</f>
        <v>0</v>
      </c>
      <c r="E9" s="14">
        <v>1500</v>
      </c>
      <c r="F9" s="3"/>
    </row>
    <row r="10" spans="1:6" x14ac:dyDescent="0.25">
      <c r="A10" s="3" t="s">
        <v>11</v>
      </c>
      <c r="B10" s="3">
        <v>39</v>
      </c>
      <c r="C10" s="5"/>
      <c r="D10" s="6">
        <f>C10/B10</f>
        <v>0</v>
      </c>
      <c r="E10" s="3">
        <v>50</v>
      </c>
      <c r="F10" s="3"/>
    </row>
    <row r="11" spans="1:6" x14ac:dyDescent="0.25">
      <c r="A11" s="3" t="s">
        <v>12</v>
      </c>
      <c r="B11" s="3">
        <v>300</v>
      </c>
      <c r="C11" s="5"/>
      <c r="D11" s="6">
        <f>C11/B11</f>
        <v>0</v>
      </c>
      <c r="E11" s="3">
        <v>500</v>
      </c>
      <c r="F11" s="3"/>
    </row>
    <row r="14" spans="1:6" ht="18.75" x14ac:dyDescent="0.3">
      <c r="A14" s="43" t="s">
        <v>13</v>
      </c>
      <c r="B14" s="44"/>
      <c r="C14" s="44"/>
      <c r="D14" s="44"/>
      <c r="E14" s="44"/>
      <c r="F14" s="44"/>
    </row>
    <row r="15" spans="1:6" x14ac:dyDescent="0.25">
      <c r="A15" s="2" t="s">
        <v>14</v>
      </c>
      <c r="B15" s="46" t="s">
        <v>15</v>
      </c>
      <c r="C15" s="46"/>
      <c r="D15" s="2" t="s">
        <v>16</v>
      </c>
      <c r="E15" s="2" t="s">
        <v>5</v>
      </c>
    </row>
    <row r="16" spans="1:6" x14ac:dyDescent="0.25">
      <c r="A16" s="3" t="s">
        <v>17</v>
      </c>
      <c r="B16" s="47" t="s">
        <v>142</v>
      </c>
      <c r="C16" s="47"/>
      <c r="D16" s="5"/>
      <c r="E16" s="5"/>
    </row>
    <row r="17" spans="1:5" x14ac:dyDescent="0.25">
      <c r="A17" s="3" t="s">
        <v>18</v>
      </c>
      <c r="B17" s="47" t="s">
        <v>19</v>
      </c>
      <c r="C17" s="47"/>
      <c r="D17" s="5"/>
      <c r="E17" s="5"/>
    </row>
    <row r="18" spans="1:5" x14ac:dyDescent="0.25">
      <c r="A18" s="3" t="s">
        <v>20</v>
      </c>
      <c r="B18" s="47" t="s">
        <v>21</v>
      </c>
      <c r="C18" s="47"/>
      <c r="D18" s="5"/>
      <c r="E18" s="5"/>
    </row>
  </sheetData>
  <protectedRanges>
    <protectedRange algorithmName="SHA-512" hashValue="BPLcZnKzaNwVgmYkKGAliwdrykjCFVLAA1a2RszZEVEVDjliRk4xJ+nll5EtRi2zs9isHkTK6vYNt2/GZixNqg==" saltValue="4Eg3OUHLCSuLrTXI4cMysA==" spinCount="100000" sqref="C5:C11" name="current"/>
  </protectedRanges>
  <mergeCells count="7">
    <mergeCell ref="A14:F14"/>
    <mergeCell ref="A1:F1"/>
    <mergeCell ref="A4:F4"/>
    <mergeCell ref="B15:C15"/>
    <mergeCell ref="B18:C18"/>
    <mergeCell ref="B17:C17"/>
    <mergeCell ref="B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N18"/>
  <sheetViews>
    <sheetView workbookViewId="0">
      <selection activeCell="E4" sqref="E4"/>
    </sheetView>
  </sheetViews>
  <sheetFormatPr defaultColWidth="8.85546875" defaultRowHeight="15" x14ac:dyDescent="0.25"/>
  <cols>
    <col min="1" max="14" width="12" customWidth="1"/>
  </cols>
  <sheetData>
    <row r="1" spans="1:14" ht="18.75" x14ac:dyDescent="0.3">
      <c r="A1" s="43" t="s">
        <v>22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30" x14ac:dyDescent="0.25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</row>
    <row r="3" spans="1:14" x14ac:dyDescent="0.25">
      <c r="A3" s="3">
        <v>2025</v>
      </c>
      <c r="B3" s="8">
        <v>375</v>
      </c>
      <c r="C3" s="5">
        <v>320</v>
      </c>
      <c r="D3" s="23">
        <v>375</v>
      </c>
      <c r="E3" s="5">
        <v>350</v>
      </c>
      <c r="F3" s="8">
        <v>375</v>
      </c>
      <c r="G3" s="25">
        <v>320</v>
      </c>
      <c r="H3" s="23">
        <v>375</v>
      </c>
      <c r="I3" s="5">
        <v>500</v>
      </c>
      <c r="J3" s="23">
        <v>1500</v>
      </c>
      <c r="K3" s="24">
        <f t="shared" ref="K3:K8" si="0">SUM(C3,E3,G3,I3)</f>
        <v>1490</v>
      </c>
      <c r="L3" s="23">
        <v>1500</v>
      </c>
      <c r="M3" s="25">
        <f>K3</f>
        <v>1490</v>
      </c>
      <c r="N3" s="26">
        <f t="shared" ref="N3:N8" si="1">M3/15000</f>
        <v>9.9333333333333329E-2</v>
      </c>
    </row>
    <row r="4" spans="1:14" x14ac:dyDescent="0.25">
      <c r="A4" s="3">
        <v>2026</v>
      </c>
      <c r="B4" s="8">
        <v>500</v>
      </c>
      <c r="C4" s="5"/>
      <c r="D4" s="23">
        <v>500</v>
      </c>
      <c r="E4" s="5"/>
      <c r="F4" s="8">
        <v>500</v>
      </c>
      <c r="G4" s="25"/>
      <c r="H4" s="23">
        <v>500</v>
      </c>
      <c r="I4" s="5"/>
      <c r="J4" s="23">
        <v>2000</v>
      </c>
      <c r="K4" s="24">
        <f t="shared" si="0"/>
        <v>0</v>
      </c>
      <c r="L4" s="23">
        <v>3500</v>
      </c>
      <c r="M4" s="25">
        <f>M3+K4</f>
        <v>1490</v>
      </c>
      <c r="N4" s="26">
        <f t="shared" si="1"/>
        <v>9.9333333333333329E-2</v>
      </c>
    </row>
    <row r="5" spans="1:14" x14ac:dyDescent="0.25">
      <c r="A5" s="3">
        <v>2027</v>
      </c>
      <c r="B5" s="8">
        <v>625</v>
      </c>
      <c r="C5" s="5"/>
      <c r="D5" s="23">
        <v>625</v>
      </c>
      <c r="E5" s="5"/>
      <c r="F5" s="8">
        <v>625</v>
      </c>
      <c r="G5" s="25"/>
      <c r="H5" s="23">
        <v>625</v>
      </c>
      <c r="I5" s="5"/>
      <c r="J5" s="23">
        <v>2500</v>
      </c>
      <c r="K5" s="24">
        <f t="shared" si="0"/>
        <v>0</v>
      </c>
      <c r="L5" s="23">
        <v>6000</v>
      </c>
      <c r="M5" s="25">
        <f>M4+K5</f>
        <v>1490</v>
      </c>
      <c r="N5" s="26">
        <f t="shared" si="1"/>
        <v>9.9333333333333329E-2</v>
      </c>
    </row>
    <row r="6" spans="1:14" x14ac:dyDescent="0.25">
      <c r="A6" s="3">
        <v>2028</v>
      </c>
      <c r="B6" s="8">
        <v>750</v>
      </c>
      <c r="C6" s="5"/>
      <c r="D6" s="23">
        <v>750</v>
      </c>
      <c r="E6" s="5"/>
      <c r="F6" s="8">
        <v>750</v>
      </c>
      <c r="G6" s="25"/>
      <c r="H6" s="23">
        <v>750</v>
      </c>
      <c r="I6" s="5"/>
      <c r="J6" s="23">
        <v>3000</v>
      </c>
      <c r="K6" s="24">
        <f t="shared" si="0"/>
        <v>0</v>
      </c>
      <c r="L6" s="23">
        <v>9000</v>
      </c>
      <c r="M6" s="25">
        <f>M5+K6</f>
        <v>1490</v>
      </c>
      <c r="N6" s="26">
        <f t="shared" si="1"/>
        <v>9.9333333333333329E-2</v>
      </c>
    </row>
    <row r="7" spans="1:14" x14ac:dyDescent="0.25">
      <c r="A7" s="3">
        <v>2029</v>
      </c>
      <c r="B7" s="8">
        <v>750</v>
      </c>
      <c r="C7" s="5"/>
      <c r="D7" s="23">
        <v>750</v>
      </c>
      <c r="E7" s="5"/>
      <c r="F7" s="8">
        <v>750</v>
      </c>
      <c r="G7" s="25"/>
      <c r="H7" s="23">
        <v>750</v>
      </c>
      <c r="I7" s="5"/>
      <c r="J7" s="23">
        <v>3000</v>
      </c>
      <c r="K7" s="24">
        <f t="shared" si="0"/>
        <v>0</v>
      </c>
      <c r="L7" s="23">
        <v>12000</v>
      </c>
      <c r="M7" s="25">
        <f>M6+K7</f>
        <v>1490</v>
      </c>
      <c r="N7" s="26">
        <f t="shared" si="1"/>
        <v>9.9333333333333329E-2</v>
      </c>
    </row>
    <row r="8" spans="1:14" x14ac:dyDescent="0.25">
      <c r="A8" s="3">
        <v>2030</v>
      </c>
      <c r="B8" s="8">
        <v>750</v>
      </c>
      <c r="C8" s="5"/>
      <c r="D8" s="23">
        <v>750</v>
      </c>
      <c r="E8" s="5"/>
      <c r="F8" s="8">
        <v>750</v>
      </c>
      <c r="G8" s="25"/>
      <c r="H8" s="23">
        <v>750</v>
      </c>
      <c r="I8" s="5"/>
      <c r="J8" s="23">
        <v>3000</v>
      </c>
      <c r="K8" s="24">
        <f t="shared" si="0"/>
        <v>0</v>
      </c>
      <c r="L8" s="23">
        <v>15000</v>
      </c>
      <c r="M8" s="25">
        <f>M7+K8</f>
        <v>1490</v>
      </c>
      <c r="N8" s="26">
        <f t="shared" si="1"/>
        <v>9.9333333333333329E-2</v>
      </c>
    </row>
    <row r="13" spans="1:14" x14ac:dyDescent="0.25">
      <c r="A13" s="48"/>
      <c r="B13" s="48"/>
      <c r="C13" s="48"/>
      <c r="D13" s="49"/>
      <c r="E13" s="48"/>
      <c r="F13" s="48"/>
      <c r="G13" s="48"/>
      <c r="H13" s="49"/>
      <c r="I13" s="48"/>
      <c r="J13" s="49"/>
      <c r="K13" s="48"/>
    </row>
    <row r="14" spans="1:14" x14ac:dyDescent="0.25">
      <c r="A14" s="48"/>
      <c r="B14" s="48"/>
      <c r="C14" s="48"/>
      <c r="D14" s="49"/>
      <c r="E14" s="48"/>
      <c r="F14" s="48"/>
      <c r="G14" s="48"/>
      <c r="H14" s="49"/>
      <c r="I14" s="48"/>
      <c r="J14" s="49"/>
      <c r="K14" s="48"/>
    </row>
    <row r="15" spans="1:14" x14ac:dyDescent="0.25">
      <c r="A15" s="48"/>
      <c r="B15" s="48"/>
      <c r="C15" s="48"/>
      <c r="D15" s="49"/>
      <c r="E15" s="48"/>
      <c r="F15" s="48"/>
      <c r="G15" s="48"/>
      <c r="H15" s="49"/>
      <c r="I15" s="48"/>
      <c r="J15" s="49"/>
      <c r="K15" s="48"/>
    </row>
    <row r="16" spans="1:14" x14ac:dyDescent="0.25">
      <c r="A16" s="48"/>
      <c r="B16" s="48"/>
      <c r="C16" s="48"/>
      <c r="D16" s="49"/>
      <c r="E16" s="48"/>
      <c r="F16" s="48"/>
      <c r="G16" s="48"/>
      <c r="H16" s="49"/>
      <c r="I16" s="48"/>
      <c r="J16" s="49"/>
      <c r="K16" s="48"/>
    </row>
    <row r="17" spans="1:11" x14ac:dyDescent="0.25">
      <c r="A17" s="48"/>
      <c r="B17" s="48"/>
      <c r="C17" s="48"/>
      <c r="D17" s="49"/>
      <c r="E17" s="48"/>
      <c r="F17" s="48"/>
      <c r="G17" s="48"/>
      <c r="H17" s="49"/>
      <c r="I17" s="48"/>
      <c r="J17" s="49"/>
      <c r="K17" s="48"/>
    </row>
    <row r="18" spans="1:11" x14ac:dyDescent="0.25">
      <c r="A18" s="48"/>
      <c r="B18" s="48"/>
      <c r="C18" s="48"/>
      <c r="D18" s="49"/>
      <c r="E18" s="48"/>
      <c r="F18" s="48"/>
      <c r="G18" s="48"/>
      <c r="H18" s="49"/>
      <c r="I18" s="48"/>
      <c r="J18" s="49"/>
      <c r="K18" s="48"/>
    </row>
  </sheetData>
  <sheetProtection selectLockedCells="1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L8"/>
  <sheetViews>
    <sheetView workbookViewId="0">
      <selection activeCell="K3" sqref="K3"/>
    </sheetView>
  </sheetViews>
  <sheetFormatPr defaultColWidth="8.85546875" defaultRowHeight="15" x14ac:dyDescent="0.25"/>
  <cols>
    <col min="1" max="12" width="14" customWidth="1"/>
  </cols>
  <sheetData>
    <row r="1" spans="1:12" ht="18.75" x14ac:dyDescent="0.3">
      <c r="A1" s="43" t="s">
        <v>139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60" x14ac:dyDescent="0.25">
      <c r="A2" s="7" t="s">
        <v>23</v>
      </c>
      <c r="B2" s="7" t="s">
        <v>131</v>
      </c>
      <c r="C2" s="7" t="s">
        <v>25</v>
      </c>
      <c r="D2" s="7" t="s">
        <v>132</v>
      </c>
      <c r="E2" s="7" t="s">
        <v>27</v>
      </c>
      <c r="F2" s="7" t="s">
        <v>133</v>
      </c>
      <c r="G2" s="7" t="s">
        <v>29</v>
      </c>
      <c r="H2" s="7" t="s">
        <v>134</v>
      </c>
      <c r="I2" s="7" t="s">
        <v>31</v>
      </c>
      <c r="J2" s="7" t="s">
        <v>136</v>
      </c>
      <c r="K2" s="7" t="s">
        <v>135</v>
      </c>
      <c r="L2" s="7" t="s">
        <v>37</v>
      </c>
    </row>
    <row r="3" spans="1:12" x14ac:dyDescent="0.25">
      <c r="A3" s="3">
        <v>2025</v>
      </c>
      <c r="B3" s="8">
        <v>50</v>
      </c>
      <c r="C3" s="5">
        <v>15</v>
      </c>
      <c r="D3" s="8">
        <v>50</v>
      </c>
      <c r="E3" s="5">
        <v>36</v>
      </c>
      <c r="F3" s="8">
        <v>50</v>
      </c>
      <c r="G3" s="5">
        <v>20</v>
      </c>
      <c r="H3" s="8">
        <v>50</v>
      </c>
      <c r="I3" s="5">
        <v>50</v>
      </c>
      <c r="J3" s="8">
        <v>50</v>
      </c>
      <c r="K3" s="3">
        <f>AVERAGE(C3,E3,G3,I3)</f>
        <v>30.25</v>
      </c>
      <c r="L3" s="6">
        <f>K3/50</f>
        <v>0.60499999999999998</v>
      </c>
    </row>
    <row r="4" spans="1:12" x14ac:dyDescent="0.25">
      <c r="A4" s="3">
        <v>2026</v>
      </c>
      <c r="B4" s="8">
        <v>2</v>
      </c>
      <c r="C4" s="5"/>
      <c r="D4" s="8">
        <v>2</v>
      </c>
      <c r="E4" s="5"/>
      <c r="F4" s="8">
        <v>2</v>
      </c>
      <c r="G4" s="5"/>
      <c r="H4" s="8">
        <v>2</v>
      </c>
      <c r="I4" s="5"/>
      <c r="J4" s="8">
        <v>50</v>
      </c>
      <c r="K4" s="3">
        <f t="shared" ref="K4:K8" si="0">SUM(C4,E4,G4,I4)</f>
        <v>0</v>
      </c>
      <c r="L4" s="6">
        <f t="shared" ref="L4:L8" si="1">K4/50</f>
        <v>0</v>
      </c>
    </row>
    <row r="5" spans="1:12" x14ac:dyDescent="0.25">
      <c r="A5" s="3">
        <v>2027</v>
      </c>
      <c r="B5" s="8">
        <v>2</v>
      </c>
      <c r="C5" s="5"/>
      <c r="D5" s="8">
        <v>2</v>
      </c>
      <c r="E5" s="5"/>
      <c r="F5" s="8">
        <v>2</v>
      </c>
      <c r="G5" s="5"/>
      <c r="H5" s="8">
        <v>2</v>
      </c>
      <c r="I5" s="5"/>
      <c r="J5" s="8">
        <v>50</v>
      </c>
      <c r="K5" s="3">
        <f t="shared" si="0"/>
        <v>0</v>
      </c>
      <c r="L5" s="6">
        <f t="shared" si="1"/>
        <v>0</v>
      </c>
    </row>
    <row r="6" spans="1:12" x14ac:dyDescent="0.25">
      <c r="A6" s="3">
        <v>2028</v>
      </c>
      <c r="B6" s="8">
        <v>2</v>
      </c>
      <c r="C6" s="5"/>
      <c r="D6" s="8">
        <v>2</v>
      </c>
      <c r="E6" s="5"/>
      <c r="F6" s="8">
        <v>2</v>
      </c>
      <c r="G6" s="5"/>
      <c r="H6" s="8">
        <v>1</v>
      </c>
      <c r="I6" s="5"/>
      <c r="J6" s="8">
        <v>50</v>
      </c>
      <c r="K6" s="3">
        <f t="shared" si="0"/>
        <v>0</v>
      </c>
      <c r="L6" s="6">
        <f t="shared" si="1"/>
        <v>0</v>
      </c>
    </row>
    <row r="7" spans="1:12" x14ac:dyDescent="0.25">
      <c r="A7" s="3">
        <v>2029</v>
      </c>
      <c r="B7" s="8">
        <v>1</v>
      </c>
      <c r="C7" s="5"/>
      <c r="D7" s="8">
        <v>2</v>
      </c>
      <c r="E7" s="5"/>
      <c r="F7" s="8">
        <v>1</v>
      </c>
      <c r="G7" s="5"/>
      <c r="H7" s="8">
        <v>1</v>
      </c>
      <c r="I7" s="5"/>
      <c r="J7" s="8">
        <v>50</v>
      </c>
      <c r="K7" s="3">
        <f t="shared" si="0"/>
        <v>0</v>
      </c>
      <c r="L7" s="6">
        <f t="shared" si="1"/>
        <v>0</v>
      </c>
    </row>
    <row r="8" spans="1:12" x14ac:dyDescent="0.25">
      <c r="A8" s="3">
        <v>2030</v>
      </c>
      <c r="B8" s="8">
        <v>1</v>
      </c>
      <c r="C8" s="5"/>
      <c r="D8" s="8">
        <v>1</v>
      </c>
      <c r="E8" s="5"/>
      <c r="F8" s="8">
        <v>0</v>
      </c>
      <c r="G8" s="5"/>
      <c r="H8" s="8">
        <v>0</v>
      </c>
      <c r="I8" s="5"/>
      <c r="J8" s="8">
        <v>50</v>
      </c>
      <c r="K8" s="3">
        <f t="shared" si="0"/>
        <v>0</v>
      </c>
      <c r="L8" s="6">
        <f t="shared" si="1"/>
        <v>0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L8"/>
  <sheetViews>
    <sheetView workbookViewId="0">
      <selection activeCell="G8" sqref="G8"/>
    </sheetView>
  </sheetViews>
  <sheetFormatPr defaultColWidth="8.85546875" defaultRowHeight="15" x14ac:dyDescent="0.25"/>
  <cols>
    <col min="1" max="12" width="15" customWidth="1"/>
  </cols>
  <sheetData>
    <row r="1" spans="1:12" ht="18.75" x14ac:dyDescent="0.3">
      <c r="A1" s="43" t="s">
        <v>38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30" x14ac:dyDescent="0.25">
      <c r="A2" s="7" t="s">
        <v>23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43</v>
      </c>
      <c r="G2" s="7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7" t="s">
        <v>49</v>
      </c>
    </row>
    <row r="3" spans="1:12" x14ac:dyDescent="0.25">
      <c r="A3" s="3">
        <v>2025</v>
      </c>
      <c r="B3" s="10">
        <v>650000</v>
      </c>
      <c r="C3" s="10">
        <v>650000</v>
      </c>
      <c r="D3" s="10">
        <v>650000</v>
      </c>
      <c r="E3" s="10">
        <v>650000</v>
      </c>
      <c r="F3" s="10">
        <v>2600000</v>
      </c>
      <c r="G3" s="18">
        <v>2500000</v>
      </c>
      <c r="H3" s="3"/>
      <c r="I3" s="8">
        <v>1250</v>
      </c>
      <c r="J3" s="5">
        <v>1120</v>
      </c>
      <c r="K3" s="8">
        <v>39</v>
      </c>
      <c r="L3" s="5">
        <v>14</v>
      </c>
    </row>
    <row r="4" spans="1:12" x14ac:dyDescent="0.25">
      <c r="A4" s="3">
        <v>2026</v>
      </c>
      <c r="B4" s="10">
        <v>675000</v>
      </c>
      <c r="C4" s="10">
        <v>675000</v>
      </c>
      <c r="D4" s="10">
        <v>675000</v>
      </c>
      <c r="E4" s="10">
        <v>675000</v>
      </c>
      <c r="F4" s="10">
        <v>2700000</v>
      </c>
      <c r="G4" s="18">
        <v>2800000</v>
      </c>
      <c r="H4" s="9">
        <f>(G4-G3)/G3</f>
        <v>0.12</v>
      </c>
      <c r="I4" s="8">
        <v>1300</v>
      </c>
      <c r="J4" s="5"/>
      <c r="K4" s="8">
        <v>43</v>
      </c>
      <c r="L4" s="5"/>
    </row>
    <row r="5" spans="1:12" x14ac:dyDescent="0.25">
      <c r="A5" s="3">
        <v>2027</v>
      </c>
      <c r="B5" s="10">
        <v>700000</v>
      </c>
      <c r="C5" s="10">
        <v>700000</v>
      </c>
      <c r="D5" s="10">
        <v>700000</v>
      </c>
      <c r="E5" s="10">
        <v>700000</v>
      </c>
      <c r="F5" s="10">
        <v>2800000</v>
      </c>
      <c r="G5" s="18">
        <v>4009000</v>
      </c>
      <c r="H5" s="9">
        <f>(G5-G4)/G4</f>
        <v>0.43178571428571427</v>
      </c>
      <c r="I5" s="8">
        <v>1350</v>
      </c>
      <c r="J5" s="5"/>
      <c r="K5" s="8">
        <v>46</v>
      </c>
      <c r="L5" s="5"/>
    </row>
    <row r="6" spans="1:12" x14ac:dyDescent="0.25">
      <c r="A6" s="3">
        <v>2028</v>
      </c>
      <c r="B6" s="10">
        <v>725000</v>
      </c>
      <c r="C6" s="10">
        <v>725000</v>
      </c>
      <c r="D6" s="10">
        <v>725000</v>
      </c>
      <c r="E6" s="10">
        <v>725000</v>
      </c>
      <c r="F6" s="10">
        <v>2900000</v>
      </c>
      <c r="G6" s="18">
        <v>2000000</v>
      </c>
      <c r="H6" s="9">
        <f>(G6-G5)/G5</f>
        <v>-0.50112247443252678</v>
      </c>
      <c r="I6" s="8">
        <v>1400</v>
      </c>
      <c r="J6" s="5"/>
      <c r="K6" s="8">
        <v>48</v>
      </c>
      <c r="L6" s="5"/>
    </row>
    <row r="7" spans="1:12" x14ac:dyDescent="0.25">
      <c r="A7" s="3">
        <v>2029</v>
      </c>
      <c r="B7" s="10">
        <v>737500</v>
      </c>
      <c r="C7" s="10">
        <v>737500</v>
      </c>
      <c r="D7" s="10">
        <v>737500</v>
      </c>
      <c r="E7" s="10">
        <v>737500</v>
      </c>
      <c r="F7" s="10">
        <v>2950000</v>
      </c>
      <c r="G7" s="18"/>
      <c r="H7" s="9">
        <f>(G7-G6)/G6</f>
        <v>-1</v>
      </c>
      <c r="I7" s="8">
        <v>1450</v>
      </c>
      <c r="J7" s="5"/>
      <c r="K7" s="8">
        <v>49</v>
      </c>
      <c r="L7" s="5"/>
    </row>
    <row r="8" spans="1:12" x14ac:dyDescent="0.25">
      <c r="A8" s="3">
        <v>2030</v>
      </c>
      <c r="B8" s="10">
        <v>750000</v>
      </c>
      <c r="C8" s="10">
        <v>750000</v>
      </c>
      <c r="D8" s="10">
        <v>750000</v>
      </c>
      <c r="E8" s="10">
        <v>750000</v>
      </c>
      <c r="F8" s="10">
        <v>3000000</v>
      </c>
      <c r="G8" s="18"/>
      <c r="H8" s="9" t="e">
        <f>(G8-G7)/G7</f>
        <v>#DIV/0!</v>
      </c>
      <c r="I8" s="8">
        <v>1500</v>
      </c>
      <c r="J8" s="5"/>
      <c r="K8" s="8">
        <v>50</v>
      </c>
      <c r="L8" s="5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499984740745262"/>
  </sheetPr>
  <dimension ref="A1:J8"/>
  <sheetViews>
    <sheetView tabSelected="1" workbookViewId="0">
      <selection activeCell="D5" sqref="D5"/>
    </sheetView>
  </sheetViews>
  <sheetFormatPr defaultColWidth="8.85546875" defaultRowHeight="15" x14ac:dyDescent="0.25"/>
  <cols>
    <col min="1" max="10" width="18" customWidth="1"/>
  </cols>
  <sheetData>
    <row r="1" spans="1:10" ht="18.75" x14ac:dyDescent="0.3">
      <c r="A1" s="43" t="s">
        <v>50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x14ac:dyDescent="0.25">
      <c r="A2" s="7" t="s">
        <v>23</v>
      </c>
      <c r="B2" s="7" t="s">
        <v>51</v>
      </c>
      <c r="C2" s="7" t="s">
        <v>52</v>
      </c>
      <c r="D2" s="7" t="s">
        <v>53</v>
      </c>
      <c r="E2" s="7" t="s">
        <v>54</v>
      </c>
      <c r="F2" s="7" t="s">
        <v>55</v>
      </c>
      <c r="G2" s="7" t="s">
        <v>56</v>
      </c>
      <c r="H2" s="7" t="s">
        <v>57</v>
      </c>
      <c r="I2" s="7" t="s">
        <v>58</v>
      </c>
      <c r="J2" s="7" t="s">
        <v>59</v>
      </c>
    </row>
    <row r="3" spans="1:10" x14ac:dyDescent="0.25">
      <c r="A3" s="3">
        <v>2025</v>
      </c>
      <c r="B3" s="8">
        <v>300</v>
      </c>
      <c r="C3" s="5">
        <v>230</v>
      </c>
      <c r="D3" s="6">
        <f t="shared" ref="D3:D8" si="0">B3/500</f>
        <v>0.6</v>
      </c>
      <c r="E3" s="8">
        <v>12</v>
      </c>
      <c r="F3" s="5"/>
      <c r="G3" s="8">
        <v>2</v>
      </c>
      <c r="H3" s="5"/>
      <c r="I3" s="8">
        <v>0</v>
      </c>
      <c r="J3" s="5"/>
    </row>
    <row r="4" spans="1:10" x14ac:dyDescent="0.25">
      <c r="A4" s="3">
        <v>2026</v>
      </c>
      <c r="B4" s="8">
        <v>350</v>
      </c>
      <c r="C4" s="5"/>
      <c r="D4" s="6">
        <f t="shared" si="0"/>
        <v>0.7</v>
      </c>
      <c r="E4" s="8">
        <v>16</v>
      </c>
      <c r="F4" s="5"/>
      <c r="G4" s="8">
        <v>4</v>
      </c>
      <c r="H4" s="5"/>
      <c r="I4" s="8">
        <v>0</v>
      </c>
      <c r="J4" s="5"/>
    </row>
    <row r="5" spans="1:10" x14ac:dyDescent="0.25">
      <c r="A5" s="3">
        <v>2027</v>
      </c>
      <c r="B5" s="8">
        <v>400</v>
      </c>
      <c r="C5" s="5"/>
      <c r="D5" s="6">
        <f t="shared" si="0"/>
        <v>0.8</v>
      </c>
      <c r="E5" s="8">
        <v>18</v>
      </c>
      <c r="F5" s="5"/>
      <c r="G5" s="8">
        <v>5</v>
      </c>
      <c r="H5" s="5"/>
      <c r="I5" s="8">
        <v>0</v>
      </c>
      <c r="J5" s="5"/>
    </row>
    <row r="6" spans="1:10" x14ac:dyDescent="0.25">
      <c r="A6" s="3">
        <v>2028</v>
      </c>
      <c r="B6" s="8">
        <v>450</v>
      </c>
      <c r="C6" s="5"/>
      <c r="D6" s="6">
        <f t="shared" si="0"/>
        <v>0.9</v>
      </c>
      <c r="E6" s="8">
        <v>19</v>
      </c>
      <c r="F6" s="5"/>
      <c r="G6" s="8">
        <v>6</v>
      </c>
      <c r="H6" s="5"/>
      <c r="I6" s="8">
        <v>150</v>
      </c>
      <c r="J6" s="5"/>
    </row>
    <row r="7" spans="1:10" x14ac:dyDescent="0.25">
      <c r="A7" s="3">
        <v>2029</v>
      </c>
      <c r="B7" s="8">
        <v>475</v>
      </c>
      <c r="C7" s="5"/>
      <c r="D7" s="6">
        <f t="shared" si="0"/>
        <v>0.95</v>
      </c>
      <c r="E7" s="8">
        <v>20</v>
      </c>
      <c r="F7" s="5"/>
      <c r="G7" s="8">
        <v>6</v>
      </c>
      <c r="H7" s="5"/>
      <c r="I7" s="8">
        <v>150</v>
      </c>
      <c r="J7" s="5"/>
    </row>
    <row r="8" spans="1:10" x14ac:dyDescent="0.25">
      <c r="A8" s="3">
        <v>2030</v>
      </c>
      <c r="B8" s="8">
        <v>500</v>
      </c>
      <c r="C8" s="5"/>
      <c r="D8" s="6">
        <f t="shared" si="0"/>
        <v>1</v>
      </c>
      <c r="E8" s="8">
        <v>20</v>
      </c>
      <c r="F8" s="5"/>
      <c r="G8" s="8">
        <v>6</v>
      </c>
      <c r="H8" s="5"/>
      <c r="I8" s="8">
        <v>150</v>
      </c>
      <c r="J8" s="5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>
      <selection activeCell="B3" sqref="B3"/>
    </sheetView>
  </sheetViews>
  <sheetFormatPr defaultColWidth="8.85546875" defaultRowHeight="15" x14ac:dyDescent="0.25"/>
  <cols>
    <col min="1" max="1" width="12" customWidth="1"/>
    <col min="2" max="2" width="45" customWidth="1"/>
    <col min="3" max="3" width="15" customWidth="1"/>
    <col min="4" max="4" width="10" customWidth="1"/>
    <col min="5" max="5" width="30" customWidth="1"/>
  </cols>
  <sheetData>
    <row r="1" spans="1:5" ht="18.75" x14ac:dyDescent="0.3">
      <c r="A1" s="43" t="s">
        <v>60</v>
      </c>
      <c r="B1" s="44"/>
      <c r="C1" s="44"/>
      <c r="D1" s="44"/>
    </row>
    <row r="2" spans="1:5" x14ac:dyDescent="0.25">
      <c r="A2" s="2" t="s">
        <v>61</v>
      </c>
      <c r="B2" s="2" t="s">
        <v>62</v>
      </c>
      <c r="C2" s="2" t="s">
        <v>63</v>
      </c>
      <c r="D2" s="2" t="s">
        <v>7</v>
      </c>
      <c r="E2" s="2" t="s">
        <v>64</v>
      </c>
    </row>
    <row r="3" spans="1:5" x14ac:dyDescent="0.25">
      <c r="A3" s="11" t="s">
        <v>65</v>
      </c>
      <c r="B3" s="3" t="s">
        <v>66</v>
      </c>
      <c r="C3" s="3"/>
      <c r="D3" s="22" t="b">
        <v>0</v>
      </c>
      <c r="E3" s="3"/>
    </row>
    <row r="4" spans="1:5" x14ac:dyDescent="0.25">
      <c r="A4" s="11" t="s">
        <v>65</v>
      </c>
      <c r="B4" s="3" t="s">
        <v>67</v>
      </c>
      <c r="C4" s="3"/>
      <c r="D4" s="22" t="b">
        <v>0</v>
      </c>
      <c r="E4" s="3"/>
    </row>
    <row r="5" spans="1:5" x14ac:dyDescent="0.25">
      <c r="A5" s="11" t="s">
        <v>65</v>
      </c>
      <c r="B5" s="3" t="s">
        <v>68</v>
      </c>
      <c r="C5" s="3">
        <v>750</v>
      </c>
      <c r="D5" s="22" t="b">
        <v>0</v>
      </c>
      <c r="E5" s="3"/>
    </row>
    <row r="6" spans="1:5" x14ac:dyDescent="0.25">
      <c r="A6" s="11" t="s">
        <v>65</v>
      </c>
      <c r="B6" s="3" t="s">
        <v>140</v>
      </c>
      <c r="C6" s="3"/>
      <c r="D6" s="22" t="b">
        <v>0</v>
      </c>
      <c r="E6" s="3"/>
    </row>
    <row r="7" spans="1:5" x14ac:dyDescent="0.25">
      <c r="A7" s="11"/>
      <c r="B7" s="3"/>
      <c r="C7" s="3"/>
      <c r="D7" s="3"/>
      <c r="E7" s="3"/>
    </row>
    <row r="8" spans="1:5" x14ac:dyDescent="0.25">
      <c r="A8" s="11" t="s">
        <v>69</v>
      </c>
      <c r="B8" s="3" t="s">
        <v>70</v>
      </c>
      <c r="C8" s="3"/>
      <c r="D8" s="22" t="b">
        <v>0</v>
      </c>
      <c r="E8" s="3"/>
    </row>
    <row r="9" spans="1:5" x14ac:dyDescent="0.25">
      <c r="A9" s="11" t="s">
        <v>69</v>
      </c>
      <c r="B9" s="3" t="s">
        <v>71</v>
      </c>
      <c r="C9" s="3"/>
      <c r="D9" s="22" t="b">
        <v>0</v>
      </c>
      <c r="E9" s="3"/>
    </row>
    <row r="10" spans="1:5" x14ac:dyDescent="0.25">
      <c r="A10" s="11" t="s">
        <v>69</v>
      </c>
      <c r="B10" s="3" t="s">
        <v>72</v>
      </c>
      <c r="C10" s="3"/>
      <c r="D10" s="22" t="b">
        <v>0</v>
      </c>
      <c r="E10" s="3"/>
    </row>
    <row r="11" spans="1:5" x14ac:dyDescent="0.25">
      <c r="A11" s="11" t="s">
        <v>69</v>
      </c>
      <c r="B11" s="3" t="s">
        <v>68</v>
      </c>
      <c r="C11" s="3">
        <v>750</v>
      </c>
      <c r="D11" s="22" t="b">
        <v>0</v>
      </c>
      <c r="E11" s="3"/>
    </row>
    <row r="12" spans="1:5" x14ac:dyDescent="0.25">
      <c r="A12" s="11" t="s">
        <v>69</v>
      </c>
      <c r="B12" s="3" t="s">
        <v>140</v>
      </c>
      <c r="C12" s="3"/>
      <c r="D12" s="22" t="b">
        <v>0</v>
      </c>
      <c r="E12" s="3"/>
    </row>
    <row r="13" spans="1:5" x14ac:dyDescent="0.25">
      <c r="A13" s="11"/>
      <c r="B13" s="3"/>
      <c r="C13" s="3"/>
      <c r="D13" s="3"/>
      <c r="E13" s="3"/>
    </row>
    <row r="14" spans="1:5" x14ac:dyDescent="0.25">
      <c r="A14" s="11" t="s">
        <v>73</v>
      </c>
      <c r="B14" s="3" t="s">
        <v>74</v>
      </c>
      <c r="C14" s="3"/>
      <c r="D14" s="22" t="b">
        <v>0</v>
      </c>
      <c r="E14" s="3"/>
    </row>
    <row r="15" spans="1:5" x14ac:dyDescent="0.25">
      <c r="A15" s="11" t="s">
        <v>73</v>
      </c>
      <c r="B15" s="3" t="s">
        <v>75</v>
      </c>
      <c r="C15" s="3"/>
      <c r="D15" s="22" t="b">
        <v>0</v>
      </c>
      <c r="E15" s="3"/>
    </row>
    <row r="16" spans="1:5" x14ac:dyDescent="0.25">
      <c r="A16" s="11" t="s">
        <v>73</v>
      </c>
      <c r="B16" s="3" t="s">
        <v>76</v>
      </c>
      <c r="C16" s="3"/>
      <c r="D16" s="22" t="b">
        <v>0</v>
      </c>
      <c r="E16" s="3"/>
    </row>
    <row r="17" spans="1:5" x14ac:dyDescent="0.25">
      <c r="A17" s="11" t="s">
        <v>73</v>
      </c>
      <c r="B17" s="3" t="s">
        <v>77</v>
      </c>
      <c r="C17" s="3"/>
      <c r="D17" s="22" t="b">
        <v>0</v>
      </c>
      <c r="E17" s="3"/>
    </row>
    <row r="18" spans="1:5" x14ac:dyDescent="0.25">
      <c r="A18" s="11" t="s">
        <v>73</v>
      </c>
      <c r="B18" s="3" t="s">
        <v>68</v>
      </c>
      <c r="C18" s="3">
        <v>750</v>
      </c>
      <c r="D18" s="22" t="b">
        <v>0</v>
      </c>
      <c r="E18" s="3"/>
    </row>
    <row r="19" spans="1:5" x14ac:dyDescent="0.25">
      <c r="A19" s="11" t="s">
        <v>73</v>
      </c>
      <c r="B19" s="3" t="s">
        <v>140</v>
      </c>
      <c r="C19" s="3"/>
      <c r="D19" s="22" t="b">
        <v>0</v>
      </c>
      <c r="E19" s="3"/>
    </row>
    <row r="20" spans="1:5" x14ac:dyDescent="0.25">
      <c r="A20" s="11"/>
      <c r="B20" s="3"/>
      <c r="C20" s="3"/>
      <c r="D20" s="3"/>
      <c r="E20" s="3"/>
    </row>
    <row r="21" spans="1:5" x14ac:dyDescent="0.25">
      <c r="A21" s="11" t="s">
        <v>78</v>
      </c>
      <c r="B21" s="3" t="s">
        <v>79</v>
      </c>
      <c r="C21" s="3"/>
      <c r="D21" s="22" t="b">
        <v>0</v>
      </c>
      <c r="E21" s="3"/>
    </row>
    <row r="22" spans="1:5" x14ac:dyDescent="0.25">
      <c r="A22" s="11" t="s">
        <v>78</v>
      </c>
      <c r="B22" s="3" t="s">
        <v>80</v>
      </c>
      <c r="C22" s="3"/>
      <c r="D22" s="22" t="b">
        <v>0</v>
      </c>
      <c r="E22" s="3"/>
    </row>
    <row r="23" spans="1:5" x14ac:dyDescent="0.25">
      <c r="A23" s="11" t="s">
        <v>78</v>
      </c>
      <c r="B23" s="3" t="s">
        <v>81</v>
      </c>
      <c r="C23" s="3"/>
      <c r="D23" s="22" t="b">
        <v>0</v>
      </c>
      <c r="E23" s="3"/>
    </row>
    <row r="24" spans="1:5" x14ac:dyDescent="0.25">
      <c r="A24" s="11" t="s">
        <v>78</v>
      </c>
      <c r="B24" s="3" t="s">
        <v>82</v>
      </c>
      <c r="C24" s="3"/>
      <c r="D24" s="22" t="b">
        <v>0</v>
      </c>
      <c r="E24" s="3"/>
    </row>
    <row r="25" spans="1:5" x14ac:dyDescent="0.25">
      <c r="A25" s="11" t="s">
        <v>78</v>
      </c>
      <c r="B25" s="3" t="s">
        <v>68</v>
      </c>
      <c r="C25" s="3">
        <v>750</v>
      </c>
      <c r="D25" s="22" t="b">
        <v>0</v>
      </c>
      <c r="E25" s="3"/>
    </row>
    <row r="26" spans="1:5" x14ac:dyDescent="0.25">
      <c r="A26" s="11" t="s">
        <v>78</v>
      </c>
      <c r="B26" s="3" t="s">
        <v>140</v>
      </c>
      <c r="C26" s="3"/>
      <c r="D26" s="22" t="b">
        <v>0</v>
      </c>
      <c r="E26" s="3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zoomScale="150" workbookViewId="0">
      <selection activeCell="E3" sqref="E3"/>
    </sheetView>
  </sheetViews>
  <sheetFormatPr defaultColWidth="8.85546875" defaultRowHeight="15" x14ac:dyDescent="0.25"/>
  <cols>
    <col min="1" max="1" width="8" customWidth="1"/>
    <col min="2" max="2" width="10" customWidth="1"/>
    <col min="3" max="3" width="50" customWidth="1"/>
    <col min="4" max="4" width="18" customWidth="1"/>
    <col min="5" max="5" width="10" customWidth="1"/>
    <col min="6" max="6" width="25" customWidth="1"/>
  </cols>
  <sheetData>
    <row r="1" spans="1:6" ht="18.75" x14ac:dyDescent="0.3">
      <c r="A1" s="43" t="s">
        <v>83</v>
      </c>
      <c r="B1" s="44"/>
      <c r="C1" s="44"/>
      <c r="D1" s="44"/>
      <c r="E1" s="44"/>
    </row>
    <row r="2" spans="1:6" x14ac:dyDescent="0.25">
      <c r="A2" s="2" t="s">
        <v>23</v>
      </c>
      <c r="B2" s="2" t="s">
        <v>61</v>
      </c>
      <c r="C2" s="2" t="s">
        <v>84</v>
      </c>
      <c r="D2" s="2" t="s">
        <v>85</v>
      </c>
      <c r="E2" s="2" t="s">
        <v>7</v>
      </c>
      <c r="F2" s="2" t="s">
        <v>64</v>
      </c>
    </row>
    <row r="3" spans="1:6" x14ac:dyDescent="0.25">
      <c r="A3" s="3">
        <v>2025</v>
      </c>
      <c r="B3" s="3" t="s">
        <v>86</v>
      </c>
      <c r="C3" s="3" t="s">
        <v>71</v>
      </c>
      <c r="D3" s="3" t="s">
        <v>87</v>
      </c>
      <c r="E3" s="22" t="b">
        <v>0</v>
      </c>
      <c r="F3" s="3"/>
    </row>
    <row r="4" spans="1:6" x14ac:dyDescent="0.25">
      <c r="A4" s="3">
        <v>2025</v>
      </c>
      <c r="B4" s="3" t="s">
        <v>88</v>
      </c>
      <c r="C4" s="3" t="s">
        <v>89</v>
      </c>
      <c r="D4" s="3" t="s">
        <v>87</v>
      </c>
      <c r="E4" s="22" t="b">
        <v>0</v>
      </c>
      <c r="F4" s="3" t="s">
        <v>90</v>
      </c>
    </row>
    <row r="5" spans="1:6" x14ac:dyDescent="0.25">
      <c r="A5" s="3">
        <v>2025</v>
      </c>
      <c r="B5" s="3" t="s">
        <v>88</v>
      </c>
      <c r="C5" s="3" t="s">
        <v>75</v>
      </c>
      <c r="D5" s="3" t="s">
        <v>87</v>
      </c>
      <c r="E5" s="22" t="b">
        <v>0</v>
      </c>
      <c r="F5" s="3"/>
    </row>
    <row r="6" spans="1:6" x14ac:dyDescent="0.25">
      <c r="A6" s="3">
        <v>2025</v>
      </c>
      <c r="B6" s="3" t="s">
        <v>91</v>
      </c>
      <c r="C6" s="3" t="s">
        <v>79</v>
      </c>
      <c r="D6" s="3" t="s">
        <v>92</v>
      </c>
      <c r="E6" s="22" t="b">
        <v>0</v>
      </c>
      <c r="F6" s="3"/>
    </row>
    <row r="7" spans="1:6" x14ac:dyDescent="0.25">
      <c r="A7" s="3">
        <v>2025</v>
      </c>
      <c r="B7" s="3" t="s">
        <v>91</v>
      </c>
      <c r="C7" s="3" t="s">
        <v>80</v>
      </c>
      <c r="D7" s="3" t="s">
        <v>92</v>
      </c>
      <c r="E7" s="22" t="b">
        <v>0</v>
      </c>
      <c r="F7" s="3"/>
    </row>
    <row r="8" spans="1:6" x14ac:dyDescent="0.25">
      <c r="A8" s="3">
        <v>2025</v>
      </c>
      <c r="B8" s="3" t="s">
        <v>91</v>
      </c>
      <c r="C8" s="3" t="s">
        <v>81</v>
      </c>
      <c r="D8" s="3" t="s">
        <v>87</v>
      </c>
      <c r="E8" s="22" t="b">
        <v>0</v>
      </c>
      <c r="F8" s="3"/>
    </row>
    <row r="9" spans="1:6" x14ac:dyDescent="0.25">
      <c r="A9" s="3">
        <v>2025</v>
      </c>
      <c r="B9" s="3" t="s">
        <v>91</v>
      </c>
      <c r="C9" s="3" t="s">
        <v>82</v>
      </c>
      <c r="D9" s="3" t="s">
        <v>93</v>
      </c>
      <c r="E9" s="22" t="b">
        <v>0</v>
      </c>
      <c r="F9" s="3"/>
    </row>
    <row r="10" spans="1:6" x14ac:dyDescent="0.25">
      <c r="A10" s="3">
        <v>2026</v>
      </c>
      <c r="B10" s="3" t="s">
        <v>94</v>
      </c>
      <c r="C10" s="3" t="s">
        <v>95</v>
      </c>
      <c r="D10" s="3" t="s">
        <v>92</v>
      </c>
      <c r="E10" s="22" t="b">
        <v>0</v>
      </c>
      <c r="F10" s="3"/>
    </row>
    <row r="11" spans="1:6" x14ac:dyDescent="0.25">
      <c r="A11" s="3">
        <v>2026</v>
      </c>
      <c r="B11" s="3" t="s">
        <v>94</v>
      </c>
      <c r="C11" s="3" t="s">
        <v>96</v>
      </c>
      <c r="D11" s="3" t="s">
        <v>97</v>
      </c>
      <c r="E11" s="22" t="b">
        <v>0</v>
      </c>
      <c r="F11" s="3"/>
    </row>
    <row r="12" spans="1:6" x14ac:dyDescent="0.25">
      <c r="A12" s="3">
        <v>2026</v>
      </c>
      <c r="B12" s="3" t="s">
        <v>86</v>
      </c>
      <c r="C12" s="3" t="s">
        <v>98</v>
      </c>
      <c r="D12" s="3" t="s">
        <v>99</v>
      </c>
      <c r="E12" s="22" t="b">
        <v>0</v>
      </c>
      <c r="F12" s="3"/>
    </row>
    <row r="13" spans="1:6" x14ac:dyDescent="0.25">
      <c r="A13" s="3">
        <v>2026</v>
      </c>
      <c r="B13" s="3" t="s">
        <v>86</v>
      </c>
      <c r="C13" s="3" t="s">
        <v>100</v>
      </c>
      <c r="D13" s="3" t="s">
        <v>93</v>
      </c>
      <c r="E13" s="22" t="b">
        <v>0</v>
      </c>
      <c r="F13" s="3"/>
    </row>
    <row r="14" spans="1:6" x14ac:dyDescent="0.25">
      <c r="A14" s="3">
        <v>2026</v>
      </c>
      <c r="B14" s="3" t="s">
        <v>88</v>
      </c>
      <c r="C14" s="3" t="s">
        <v>101</v>
      </c>
      <c r="D14" s="3" t="s">
        <v>93</v>
      </c>
      <c r="E14" s="22" t="b">
        <v>0</v>
      </c>
      <c r="F14" s="3"/>
    </row>
    <row r="15" spans="1:6" x14ac:dyDescent="0.25">
      <c r="A15" s="3">
        <v>2026</v>
      </c>
      <c r="B15" s="3" t="s">
        <v>88</v>
      </c>
      <c r="C15" s="3" t="s">
        <v>102</v>
      </c>
      <c r="D15" s="3" t="s">
        <v>87</v>
      </c>
      <c r="E15" s="22" t="b">
        <v>0</v>
      </c>
      <c r="F15" s="3"/>
    </row>
    <row r="16" spans="1:6" x14ac:dyDescent="0.25">
      <c r="A16" s="3">
        <v>2026</v>
      </c>
      <c r="B16" s="3" t="s">
        <v>91</v>
      </c>
      <c r="C16" s="3" t="s">
        <v>103</v>
      </c>
      <c r="D16" s="3" t="s">
        <v>99</v>
      </c>
      <c r="E16" s="22" t="b">
        <v>0</v>
      </c>
      <c r="F16" s="3"/>
    </row>
    <row r="17" spans="1:6" x14ac:dyDescent="0.25">
      <c r="A17" s="3">
        <v>2027</v>
      </c>
      <c r="B17" s="3" t="s">
        <v>94</v>
      </c>
      <c r="C17" s="3" t="s">
        <v>104</v>
      </c>
      <c r="D17" s="3" t="s">
        <v>92</v>
      </c>
      <c r="E17" s="22" t="b">
        <v>0</v>
      </c>
      <c r="F17" s="3"/>
    </row>
    <row r="18" spans="1:6" x14ac:dyDescent="0.25">
      <c r="A18" s="3">
        <v>2027</v>
      </c>
      <c r="B18" s="3" t="s">
        <v>105</v>
      </c>
      <c r="C18" s="3" t="s">
        <v>106</v>
      </c>
      <c r="D18" s="3" t="s">
        <v>92</v>
      </c>
      <c r="E18" s="22" t="b">
        <v>0</v>
      </c>
      <c r="F18" s="3"/>
    </row>
    <row r="19" spans="1:6" x14ac:dyDescent="0.25">
      <c r="A19" s="3">
        <v>2027</v>
      </c>
      <c r="B19" s="3" t="s">
        <v>91</v>
      </c>
      <c r="C19" s="3" t="s">
        <v>107</v>
      </c>
      <c r="D19" s="3" t="s">
        <v>87</v>
      </c>
      <c r="E19" s="22" t="b">
        <v>0</v>
      </c>
      <c r="F19" s="3"/>
    </row>
    <row r="20" spans="1:6" x14ac:dyDescent="0.25">
      <c r="A20" s="3">
        <v>2027</v>
      </c>
      <c r="B20" s="3" t="s">
        <v>91</v>
      </c>
      <c r="C20" s="3" t="s">
        <v>108</v>
      </c>
      <c r="D20" s="3" t="s">
        <v>97</v>
      </c>
      <c r="E20" s="22" t="b">
        <v>0</v>
      </c>
      <c r="F20" s="3"/>
    </row>
    <row r="21" spans="1:6" x14ac:dyDescent="0.25">
      <c r="A21" s="3">
        <v>2028</v>
      </c>
      <c r="B21" s="3"/>
      <c r="C21" s="3" t="s">
        <v>109</v>
      </c>
      <c r="D21" s="3" t="s">
        <v>92</v>
      </c>
      <c r="E21" s="22" t="b">
        <v>0</v>
      </c>
      <c r="F21" s="3"/>
    </row>
    <row r="22" spans="1:6" x14ac:dyDescent="0.25">
      <c r="A22" s="3">
        <v>2028</v>
      </c>
      <c r="B22" s="3"/>
      <c r="C22" s="3" t="s">
        <v>110</v>
      </c>
      <c r="D22" s="3" t="s">
        <v>92</v>
      </c>
      <c r="E22" s="22" t="b">
        <v>0</v>
      </c>
      <c r="F22" s="3"/>
    </row>
    <row r="23" spans="1:6" x14ac:dyDescent="0.25">
      <c r="A23" s="3">
        <v>2029</v>
      </c>
      <c r="B23" s="3"/>
      <c r="C23" s="3" t="s">
        <v>111</v>
      </c>
      <c r="D23" s="3" t="s">
        <v>97</v>
      </c>
      <c r="E23" s="22" t="b">
        <v>0</v>
      </c>
      <c r="F23" s="3"/>
    </row>
  </sheetData>
  <mergeCells count="1"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0464077B-5255-4F4A-B2C8-62C1D96617F4}">
  <ds:schemaRefs/>
</ds:datastoreItem>
</file>

<file path=customXml/itemProps2.xml><?xml version="1.0" encoding="utf-8"?>
<ds:datastoreItem xmlns:ds="http://schemas.openxmlformats.org/officeDocument/2006/customXml" ds:itemID="{E74F8DFF-AE13-4C7B-9E57-EAC7D7B99446}">
  <ds:schemaRefs/>
</ds:datastoreItem>
</file>

<file path=customXml/itemProps3.xml><?xml version="1.0" encoding="utf-8"?>
<ds:datastoreItem xmlns:ds="http://schemas.openxmlformats.org/officeDocument/2006/customXml" ds:itemID="{379D2912-6EA8-4B13-9CFC-CDE7321B593F}">
  <ds:schemaRefs/>
</ds:datastoreItem>
</file>

<file path=customXml/itemProps4.xml><?xml version="1.0" encoding="utf-8"?>
<ds:datastoreItem xmlns:ds="http://schemas.openxmlformats.org/officeDocument/2006/customXml" ds:itemID="{0AC10B9F-7EE8-4DF3-8C28-FCA51B029247}">
  <ds:schemaRefs/>
</ds:datastoreItem>
</file>

<file path=customXml/itemProps5.xml><?xml version="1.0" encoding="utf-8"?>
<ds:datastoreItem xmlns:ds="http://schemas.openxmlformats.org/officeDocument/2006/customXml" ds:itemID="{551139B4-0C2F-441D-AB41-C3637210AF5C}">
  <ds:schemaRefs/>
</ds:datastoreItem>
</file>

<file path=customXml/itemProps6.xml><?xml version="1.0" encoding="utf-8"?>
<ds:datastoreItem xmlns:ds="http://schemas.openxmlformats.org/officeDocument/2006/customXml" ds:itemID="{ADC45D4E-2406-4B16-A21F-35EF37193BBF}">
  <ds:schemaRefs/>
</ds:datastoreItem>
</file>

<file path=customXml/itemProps7.xml><?xml version="1.0" encoding="utf-8"?>
<ds:datastoreItem xmlns:ds="http://schemas.openxmlformats.org/officeDocument/2006/customXml" ds:itemID="{1E77A722-416D-476A-96EE-81B350E0254D}">
  <ds:schemaRefs/>
</ds:datastoreItem>
</file>

<file path=customXml/itemProps8.xml><?xml version="1.0" encoding="utf-8"?>
<ds:datastoreItem xmlns:ds="http://schemas.openxmlformats.org/officeDocument/2006/customXml" ds:itemID="{FE21BBB5-71BA-4CD4-AA5A-E6409EC1F415}">
  <ds:schemaRefs/>
</ds:datastoreItem>
</file>

<file path=customXml/itemProps9.xml><?xml version="1.0" encoding="utf-8"?>
<ds:datastoreItem xmlns:ds="http://schemas.openxmlformats.org/officeDocument/2006/customXml" ds:itemID="{2E9F7DB3-30F0-4A4C-AC81-831DEA3794C0}">
  <ds:schemaRefs/>
</ds:datastoreItem>
</file>

<file path=customXml/itemProps10.xml><?xml version="1.0" encoding="utf-8"?>
<ds:datastoreItem xmlns:ds="http://schemas.openxmlformats.org/officeDocument/2006/customXml" ds:itemID="{02F93C1B-3BE0-47A5-9D21-9B48A7B05222}">
  <ds:schemaRefs/>
</ds:datastoreItem>
</file>

<file path=customXml/itemProps11.xml><?xml version="1.0" encoding="utf-8"?>
<ds:datastoreItem xmlns:ds="http://schemas.openxmlformats.org/officeDocument/2006/customXml" ds:itemID="{7BDCE2DC-A54B-4883-A34B-42A265B33D37}">
  <ds:schemaRefs/>
</ds:datastoreItem>
</file>

<file path=customXml/itemProps12.xml><?xml version="1.0" encoding="utf-8"?>
<ds:datastoreItem xmlns:ds="http://schemas.openxmlformats.org/officeDocument/2006/customXml" ds:itemID="{9F60C532-1CC6-4445-96ED-77EDF5D20BFE}">
  <ds:schemaRefs/>
</ds:datastoreItem>
</file>

<file path=customXml/itemProps13.xml><?xml version="1.0" encoding="utf-8"?>
<ds:datastoreItem xmlns:ds="http://schemas.openxmlformats.org/officeDocument/2006/customXml" ds:itemID="{395A8DF8-95B5-4CBA-87CE-879E06C0394A}">
  <ds:schemaRefs/>
</ds:datastoreItem>
</file>

<file path=customXml/itemProps14.xml><?xml version="1.0" encoding="utf-8"?>
<ds:datastoreItem xmlns:ds="http://schemas.openxmlformats.org/officeDocument/2006/customXml" ds:itemID="{540863C6-551B-47AE-A230-52A955D7B9B8}">
  <ds:schemaRefs/>
</ds:datastoreItem>
</file>

<file path=customXml/itemProps15.xml><?xml version="1.0" encoding="utf-8"?>
<ds:datastoreItem xmlns:ds="http://schemas.openxmlformats.org/officeDocument/2006/customXml" ds:itemID="{2B3E1A61-D3F4-4E20-B516-661D1D2ADDC4}">
  <ds:schemaRefs/>
</ds:datastoreItem>
</file>

<file path=customXml/itemProps16.xml><?xml version="1.0" encoding="utf-8"?>
<ds:datastoreItem xmlns:ds="http://schemas.openxmlformats.org/officeDocument/2006/customXml" ds:itemID="{30BF1ACB-EA6C-4516-ABF3-717F6ACEC3D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Dashboard</vt:lpstr>
      <vt:lpstr>Overview &amp; Dashboard</vt:lpstr>
      <vt:lpstr>Acres Conservation Goal</vt:lpstr>
      <vt:lpstr>Priority Projects (50+)</vt:lpstr>
      <vt:lpstr>Financial Goals</vt:lpstr>
      <vt:lpstr>Community Engagement</vt:lpstr>
      <vt:lpstr>2025 Quarterly Checklist</vt:lpstr>
      <vt:lpstr>One-Time Milestones</vt:lpstr>
      <vt:lpstr>current</vt:lpstr>
      <vt:lpstr>target</vt:lpstr>
    </vt:vector>
  </TitlesOfParts>
  <Company>Inland Northwest Land Conservancy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Longterm Strategic Planning</dc:title>
  <dc:creator>cbarnhart@inlandnwland.org</dc:creator>
  <cp:keywords>Strategic Plan</cp:keywords>
  <cp:lastModifiedBy>Cody Barnhart</cp:lastModifiedBy>
  <dcterms:created xsi:type="dcterms:W3CDTF">2025-11-03T17:18:57Z</dcterms:created>
  <dcterms:modified xsi:type="dcterms:W3CDTF">2025-11-12T19:14:57Z</dcterms:modified>
  <cp:category>Planning Document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ca514-4415-49c6-b791-f2663b28a853_Enabled">
    <vt:lpwstr>true</vt:lpwstr>
  </property>
  <property fmtid="{D5CDD505-2E9C-101B-9397-08002B2CF9AE}" pid="3" name="MSIP_Label_9aaca514-4415-49c6-b791-f2663b28a853_SetDate">
    <vt:lpwstr>2025-11-03T17:23:33Z</vt:lpwstr>
  </property>
  <property fmtid="{D5CDD505-2E9C-101B-9397-08002B2CF9AE}" pid="4" name="MSIP_Label_9aaca514-4415-49c6-b791-f2663b28a853_Method">
    <vt:lpwstr>Standard</vt:lpwstr>
  </property>
  <property fmtid="{D5CDD505-2E9C-101B-9397-08002B2CF9AE}" pid="5" name="MSIP_Label_9aaca514-4415-49c6-b791-f2663b28a853_Name">
    <vt:lpwstr>defa4170-0d19-0005-0004-bc88714345d2</vt:lpwstr>
  </property>
  <property fmtid="{D5CDD505-2E9C-101B-9397-08002B2CF9AE}" pid="6" name="MSIP_Label_9aaca514-4415-49c6-b791-f2663b28a853_SiteId">
    <vt:lpwstr>c63953af-d6f4-42ad-955d-bd40938eab49</vt:lpwstr>
  </property>
  <property fmtid="{D5CDD505-2E9C-101B-9397-08002B2CF9AE}" pid="7" name="MSIP_Label_9aaca514-4415-49c6-b791-f2663b28a853_ActionId">
    <vt:lpwstr>59a6462f-989e-434e-b575-5cbdd8c64b3f</vt:lpwstr>
  </property>
  <property fmtid="{D5CDD505-2E9C-101B-9397-08002B2CF9AE}" pid="8" name="MSIP_Label_9aaca514-4415-49c6-b791-f2663b28a853_ContentBits">
    <vt:lpwstr>0</vt:lpwstr>
  </property>
  <property fmtid="{D5CDD505-2E9C-101B-9397-08002B2CF9AE}" pid="9" name="MSIP_Label_9aaca514-4415-49c6-b791-f2663b28a853_Tag">
    <vt:lpwstr>10, 3, 0, 1</vt:lpwstr>
  </property>
</Properties>
</file>